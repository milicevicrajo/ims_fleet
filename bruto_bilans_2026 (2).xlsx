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era.pavlovic\Downloads\"/>
    </mc:Choice>
  </mc:AlternateContent>
  <xr:revisionPtr revIDLastSave="0" documentId="8_{2ADF6BAE-CB4B-44A6-BDD4-29C0E9E97C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zveštaj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1" l="1"/>
  <c r="K14" i="1"/>
  <c r="L13" i="1"/>
  <c r="K11" i="1"/>
  <c r="K10" i="1"/>
  <c r="K9" i="1"/>
</calcChain>
</file>

<file path=xl/sharedStrings.xml><?xml version="1.0" encoding="utf-8"?>
<sst xmlns="http://schemas.openxmlformats.org/spreadsheetml/2006/main" count="61" uniqueCount="40">
  <si>
    <t>Institut za ispitivanje materijala a.d. · Bruto bilans</t>
  </si>
  <si>
    <t>Period od 01.01.2026. do 30.06.2026.</t>
  </si>
  <si>
    <t>Godina 2026 · OJ: sve · konta: sva · nivo: Klasa (1 cifra)</t>
  </si>
  <si>
    <t>Izvor: knjiženja Finansija (iz Stankovog programa, osvežavanje svakog sata), po pravilima procedure SPFINizv12.</t>
  </si>
  <si>
    <t>Izrađeno: 30.10.2026. 10:31</t>
  </si>
  <si>
    <t>BILANSNA AKTIVA I PASIVA</t>
  </si>
  <si>
    <t>Konto</t>
  </si>
  <si>
    <t>Naziv</t>
  </si>
  <si>
    <t>Početno stanje – duguje</t>
  </si>
  <si>
    <t>Početno stanje – potražuje</t>
  </si>
  <si>
    <t>Promet u periodu – duguje</t>
  </si>
  <si>
    <t>Promet u periodu – potražuje</t>
  </si>
  <si>
    <t>Ukupno – duguje</t>
  </si>
  <si>
    <t>Ukupno – potražuje</t>
  </si>
  <si>
    <t>Saldo – duguje</t>
  </si>
  <si>
    <t>Saldo – potražuje</t>
  </si>
  <si>
    <t>0</t>
  </si>
  <si>
    <t>Neupl. kap</t>
  </si>
  <si>
    <t>1</t>
  </si>
  <si>
    <t>ZALIHE</t>
  </si>
  <si>
    <t>2</t>
  </si>
  <si>
    <t>KRATKOROCNA POTRAZIVANJA,PLASMANI I GOTOVINA</t>
  </si>
  <si>
    <t>3</t>
  </si>
  <si>
    <t>KAPITAL</t>
  </si>
  <si>
    <t>4</t>
  </si>
  <si>
    <t>DUGOROCNA REZERVISANJA I OBAVEZE</t>
  </si>
  <si>
    <t>5</t>
  </si>
  <si>
    <t>RASHODI</t>
  </si>
  <si>
    <t>6</t>
  </si>
  <si>
    <t>PRIHODI</t>
  </si>
  <si>
    <t>9</t>
  </si>
  <si>
    <t>OBRACUN TROSKOVA I UCINAKA</t>
  </si>
  <si>
    <t>Svega</t>
  </si>
  <si>
    <t>VANBILANSNA AKTIVA I PASIVA</t>
  </si>
  <si>
    <t>8</t>
  </si>
  <si>
    <t>Vanbilansna evidencija</t>
  </si>
  <si>
    <t>[Saldo – duguje]-[Saldo – potražuje]</t>
  </si>
  <si>
    <t>ovde su takva knjizenja da je svejedno, saldo je uvek nula</t>
  </si>
  <si>
    <t>[Saldo – potražuje] - [Saldo – duguje]</t>
  </si>
  <si>
    <t>Obracun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</si>
</sst>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#,##0.00;0.00"/>
  </numFmts>
  <fonts count="7" x14ac:knownFonts="1">
    <font>
      <sz val="11"/>
      <color theme="1"/>
      <name val="Calibri"/>
      <family val="2"/>
      <scheme val="minor"/>
    </font>
    <font>
      <b/>
      <sz val="14"/>
      <color rgb="FF14395B"/>
      <name val="Calibri"/>
    </font>
    <font>
      <i/>
      <sz val="11"/>
      <color rgb="FF475569"/>
      <name val="Calibri"/>
    </font>
    <font>
      <sz val="9"/>
      <color rgb="FF64748B"/>
      <name val="Calibri"/>
    </font>
    <font>
      <b/>
      <sz val="12"/>
      <color rgb="FF14395B"/>
      <name val="Calibri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4395B"/>
      </patternFill>
    </fill>
    <fill>
      <patternFill patternType="solid">
        <fgColor rgb="FFF1F5F9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7DCE5"/>
      </bottom>
      <diagonal/>
    </border>
    <border>
      <left/>
      <right/>
      <top style="medium">
        <color rgb="FF14395B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righ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6" fillId="3" borderId="2" xfId="0" applyFont="1" applyFill="1" applyBorder="1" applyAlignment="1">
      <alignment horizontal="left" vertical="top"/>
    </xf>
    <xf numFmtId="164" fontId="6" fillId="3" borderId="2" xfId="0" applyNumberFormat="1" applyFont="1" applyFill="1" applyBorder="1" applyAlignment="1">
      <alignment horizontal="right" vertical="top"/>
    </xf>
    <xf numFmtId="0" fontId="5" fillId="4" borderId="0" xfId="0" applyFont="1" applyFill="1" applyAlignment="1">
      <alignment horizontal="right" vertical="top"/>
    </xf>
    <xf numFmtId="0" fontId="5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2"/>
  <sheetViews>
    <sheetView showGridLines="0" tabSelected="1" workbookViewId="0">
      <pane xSplit="2" ySplit="8" topLeftCell="G9" activePane="bottomRight" state="frozen"/>
      <selection pane="topRight" activeCell="C1" sqref="C1"/>
      <selection pane="bottomLeft" activeCell="A9" sqref="A9"/>
      <selection pane="bottomRight" activeCell="I31" sqref="I31"/>
    </sheetView>
  </sheetViews>
  <sheetFormatPr defaultRowHeight="15" x14ac:dyDescent="0.25"/>
  <cols>
    <col min="1" max="1" width="34" customWidth="1"/>
    <col min="2" max="2" width="46" customWidth="1"/>
    <col min="3" max="3" width="25" customWidth="1"/>
    <col min="4" max="4" width="28" customWidth="1"/>
    <col min="5" max="5" width="27" customWidth="1"/>
    <col min="6" max="6" width="30" customWidth="1"/>
    <col min="7" max="7" width="18" customWidth="1"/>
    <col min="8" max="8" width="20" customWidth="1"/>
    <col min="9" max="9" width="18" customWidth="1"/>
    <col min="10" max="10" width="19" customWidth="1"/>
    <col min="11" max="11" width="18" customWidth="1"/>
    <col min="12" max="12" width="19" customWidth="1"/>
    <col min="13" max="13" width="36.28515625" customWidth="1"/>
  </cols>
  <sheetData>
    <row r="1" spans="1:13" ht="18.75" x14ac:dyDescent="0.25">
      <c r="A1" s="1" t="s">
        <v>0</v>
      </c>
    </row>
    <row r="2" spans="1:13" x14ac:dyDescent="0.25">
      <c r="A2" s="2" t="s">
        <v>1</v>
      </c>
    </row>
    <row r="3" spans="1:13" x14ac:dyDescent="0.25">
      <c r="A3" s="2" t="s">
        <v>2</v>
      </c>
    </row>
    <row r="4" spans="1:13" x14ac:dyDescent="0.25">
      <c r="A4" s="2" t="s">
        <v>3</v>
      </c>
    </row>
    <row r="5" spans="1:13" x14ac:dyDescent="0.25">
      <c r="A5" s="3" t="s">
        <v>4</v>
      </c>
    </row>
    <row r="7" spans="1:13" ht="15.75" x14ac:dyDescent="0.25">
      <c r="A7" s="4" t="s">
        <v>5</v>
      </c>
    </row>
    <row r="8" spans="1:13" x14ac:dyDescent="0.25">
      <c r="A8" s="5" t="s">
        <v>6</v>
      </c>
      <c r="B8" s="5" t="s">
        <v>7</v>
      </c>
      <c r="C8" s="6" t="s">
        <v>8</v>
      </c>
      <c r="D8" s="6" t="s">
        <v>9</v>
      </c>
      <c r="E8" s="6" t="s">
        <v>10</v>
      </c>
      <c r="F8" s="6" t="s">
        <v>11</v>
      </c>
      <c r="G8" s="6" t="s">
        <v>12</v>
      </c>
      <c r="H8" s="6" t="s">
        <v>13</v>
      </c>
      <c r="I8" s="6" t="s">
        <v>14</v>
      </c>
      <c r="J8" s="6" t="s">
        <v>15</v>
      </c>
      <c r="K8" s="11" t="s">
        <v>14</v>
      </c>
      <c r="L8" s="11" t="s">
        <v>15</v>
      </c>
      <c r="M8" s="12" t="s">
        <v>39</v>
      </c>
    </row>
    <row r="9" spans="1:13" x14ac:dyDescent="0.25">
      <c r="A9" s="7" t="s">
        <v>16</v>
      </c>
      <c r="B9" s="7" t="s">
        <v>17</v>
      </c>
      <c r="C9" s="8">
        <v>3265767010.6900001</v>
      </c>
      <c r="D9" s="8">
        <v>1794322875.52</v>
      </c>
      <c r="E9" s="8">
        <v>21649732.739999998</v>
      </c>
      <c r="F9" s="8">
        <v>44853973.75</v>
      </c>
      <c r="G9" s="8">
        <v>3287416743.4299998</v>
      </c>
      <c r="H9" s="8">
        <v>1839176849.27</v>
      </c>
      <c r="I9" s="8">
        <v>3283927950.52</v>
      </c>
      <c r="J9" s="8">
        <v>1835688056.3599999</v>
      </c>
      <c r="K9" s="8">
        <f>+I9-J9</f>
        <v>1448239894.1600001</v>
      </c>
      <c r="L9" s="8">
        <v>0</v>
      </c>
      <c r="M9" t="s">
        <v>36</v>
      </c>
    </row>
    <row r="10" spans="1:13" x14ac:dyDescent="0.25">
      <c r="A10" s="7" t="s">
        <v>18</v>
      </c>
      <c r="B10" s="7" t="s">
        <v>19</v>
      </c>
      <c r="C10" s="8">
        <v>42864022.689999998</v>
      </c>
      <c r="D10" s="8">
        <v>16302714.300000001</v>
      </c>
      <c r="E10" s="8">
        <v>31921233.309999999</v>
      </c>
      <c r="F10" s="8">
        <v>31674906.440000001</v>
      </c>
      <c r="G10" s="8">
        <v>74785256</v>
      </c>
      <c r="H10" s="8">
        <v>47977620.740000002</v>
      </c>
      <c r="I10" s="8">
        <v>43316887.840000004</v>
      </c>
      <c r="J10" s="8">
        <v>16509252.58</v>
      </c>
      <c r="K10" s="8">
        <f t="shared" ref="K10:K11" si="0">+I10-J10</f>
        <v>26807635.260000005</v>
      </c>
      <c r="L10" s="8">
        <v>0</v>
      </c>
      <c r="M10" t="s">
        <v>36</v>
      </c>
    </row>
    <row r="11" spans="1:13" x14ac:dyDescent="0.25">
      <c r="A11" s="7" t="s">
        <v>20</v>
      </c>
      <c r="B11" s="7" t="s">
        <v>21</v>
      </c>
      <c r="C11" s="8">
        <v>882645451.24000001</v>
      </c>
      <c r="D11" s="8">
        <v>164539551.03</v>
      </c>
      <c r="E11" s="8">
        <v>2755664271.7800002</v>
      </c>
      <c r="F11" s="8">
        <v>2578068253.21</v>
      </c>
      <c r="G11" s="8">
        <v>3638309723.02</v>
      </c>
      <c r="H11" s="8">
        <v>2742607804.2399998</v>
      </c>
      <c r="I11" s="8">
        <v>1021406363.33</v>
      </c>
      <c r="J11" s="8">
        <v>125704444.55</v>
      </c>
      <c r="K11" s="8">
        <f>+I11-J11</f>
        <v>895701918.78000009</v>
      </c>
      <c r="L11" s="8">
        <v>0</v>
      </c>
      <c r="M11" t="s">
        <v>36</v>
      </c>
    </row>
    <row r="12" spans="1:13" x14ac:dyDescent="0.25">
      <c r="A12" s="7" t="s">
        <v>22</v>
      </c>
      <c r="B12" s="7" t="s">
        <v>23</v>
      </c>
      <c r="C12" s="8">
        <v>258592534.34</v>
      </c>
      <c r="D12" s="8">
        <v>1929382541.8</v>
      </c>
      <c r="E12" s="8">
        <v>0</v>
      </c>
      <c r="F12" s="8">
        <v>0</v>
      </c>
      <c r="G12" s="8">
        <v>258592534.34</v>
      </c>
      <c r="H12" s="8">
        <v>1929382541.8</v>
      </c>
      <c r="I12" s="8">
        <v>258592534.34</v>
      </c>
      <c r="J12" s="8">
        <v>1929382541.8</v>
      </c>
      <c r="K12" s="8">
        <v>0</v>
      </c>
      <c r="L12" s="8">
        <f>+J12-I12</f>
        <v>1670790007.46</v>
      </c>
      <c r="M12" t="s">
        <v>38</v>
      </c>
    </row>
    <row r="13" spans="1:13" x14ac:dyDescent="0.25">
      <c r="A13" s="7" t="s">
        <v>24</v>
      </c>
      <c r="B13" s="7" t="s">
        <v>25</v>
      </c>
      <c r="C13" s="8">
        <v>14887259.57</v>
      </c>
      <c r="D13" s="8">
        <v>560208595.88</v>
      </c>
      <c r="E13" s="8">
        <v>1347777762.03</v>
      </c>
      <c r="F13" s="8">
        <v>1358120812.5799999</v>
      </c>
      <c r="G13" s="8">
        <v>1362665021.5999999</v>
      </c>
      <c r="H13" s="8">
        <v>1918329408.46</v>
      </c>
      <c r="I13" s="8">
        <v>6226637.0899999999</v>
      </c>
      <c r="J13" s="8">
        <v>561891023.95000005</v>
      </c>
      <c r="K13" s="8">
        <v>0</v>
      </c>
      <c r="L13" s="8">
        <f>+J13-I13</f>
        <v>555664386.86000001</v>
      </c>
      <c r="M13" t="s">
        <v>38</v>
      </c>
    </row>
    <row r="14" spans="1:13" x14ac:dyDescent="0.25">
      <c r="A14" s="7" t="s">
        <v>26</v>
      </c>
      <c r="B14" s="7" t="s">
        <v>27</v>
      </c>
      <c r="C14" s="8">
        <v>0</v>
      </c>
      <c r="D14" s="8">
        <v>0</v>
      </c>
      <c r="E14" s="8">
        <v>821137849.64999998</v>
      </c>
      <c r="F14" s="8">
        <v>0</v>
      </c>
      <c r="G14" s="8">
        <v>821137849.64999998</v>
      </c>
      <c r="H14" s="8">
        <v>0</v>
      </c>
      <c r="I14" s="8">
        <v>821137849.64999998</v>
      </c>
      <c r="J14" s="8">
        <v>0</v>
      </c>
      <c r="K14" s="8">
        <f>+I14-J14</f>
        <v>821137849.64999998</v>
      </c>
      <c r="L14" s="8">
        <v>0</v>
      </c>
      <c r="M14" t="s">
        <v>36</v>
      </c>
    </row>
    <row r="15" spans="1:13" x14ac:dyDescent="0.25">
      <c r="A15" s="7" t="s">
        <v>28</v>
      </c>
      <c r="B15" s="7" t="s">
        <v>29</v>
      </c>
      <c r="C15" s="8">
        <v>0</v>
      </c>
      <c r="D15" s="8">
        <v>0</v>
      </c>
      <c r="E15" s="8">
        <v>0</v>
      </c>
      <c r="F15" s="8">
        <v>965432903.52999997</v>
      </c>
      <c r="G15" s="8">
        <v>0</v>
      </c>
      <c r="H15" s="8">
        <v>965432903.52999997</v>
      </c>
      <c r="I15" s="8">
        <v>0</v>
      </c>
      <c r="J15" s="8">
        <v>965432903.52999997</v>
      </c>
      <c r="K15" s="8">
        <v>0</v>
      </c>
      <c r="L15" s="8">
        <v>965432903.52999997</v>
      </c>
      <c r="M15" t="s">
        <v>38</v>
      </c>
    </row>
    <row r="16" spans="1:13" ht="15.75" thickBot="1" x14ac:dyDescent="0.3">
      <c r="A16" s="7" t="s">
        <v>30</v>
      </c>
      <c r="B16" s="7" t="s">
        <v>31</v>
      </c>
      <c r="C16" s="8">
        <v>0</v>
      </c>
      <c r="D16" s="8">
        <v>0</v>
      </c>
      <c r="E16" s="8">
        <v>9072935.5299999993</v>
      </c>
      <c r="F16" s="8">
        <v>9072935.5299999993</v>
      </c>
      <c r="G16" s="8">
        <v>9072935.5299999993</v>
      </c>
      <c r="H16" s="8">
        <v>9072935.5299999993</v>
      </c>
      <c r="I16" s="8">
        <v>6092796.0499999998</v>
      </c>
      <c r="J16" s="8">
        <v>6092796.0499999998</v>
      </c>
      <c r="K16" s="8">
        <v>0</v>
      </c>
      <c r="L16" s="8">
        <v>0</v>
      </c>
      <c r="M16" t="s">
        <v>37</v>
      </c>
    </row>
    <row r="17" spans="1:13" x14ac:dyDescent="0.25">
      <c r="A17" s="9" t="s">
        <v>32</v>
      </c>
      <c r="B17" s="9"/>
      <c r="C17" s="10">
        <v>4464756278.5299997</v>
      </c>
      <c r="D17" s="10">
        <v>4464756278.5299997</v>
      </c>
      <c r="E17" s="10">
        <v>4987223785.04</v>
      </c>
      <c r="F17" s="10">
        <v>4987223785.04</v>
      </c>
      <c r="G17" s="10">
        <v>9451980063.5699997</v>
      </c>
      <c r="H17" s="10">
        <v>9451980063.5699997</v>
      </c>
      <c r="I17" s="10">
        <v>5440701018.8199997</v>
      </c>
      <c r="J17" s="10">
        <v>5440701018.8199997</v>
      </c>
      <c r="K17" s="10">
        <v>5440701018.8199997</v>
      </c>
      <c r="L17" s="10">
        <v>5440701018.8199997</v>
      </c>
    </row>
    <row r="19" spans="1:13" ht="15.75" x14ac:dyDescent="0.25">
      <c r="A19" s="4" t="s">
        <v>33</v>
      </c>
    </row>
    <row r="20" spans="1:13" x14ac:dyDescent="0.25">
      <c r="A20" s="5" t="s">
        <v>6</v>
      </c>
      <c r="B20" s="5" t="s">
        <v>7</v>
      </c>
      <c r="C20" s="6" t="s">
        <v>8</v>
      </c>
      <c r="D20" s="6" t="s">
        <v>9</v>
      </c>
      <c r="E20" s="6" t="s">
        <v>10</v>
      </c>
      <c r="F20" s="6" t="s">
        <v>11</v>
      </c>
      <c r="G20" s="6" t="s">
        <v>12</v>
      </c>
      <c r="H20" s="6" t="s">
        <v>13</v>
      </c>
      <c r="I20" s="6" t="s">
        <v>14</v>
      </c>
      <c r="J20" s="6" t="s">
        <v>15</v>
      </c>
      <c r="K20" s="11" t="s">
        <v>14</v>
      </c>
      <c r="L20" s="11" t="s">
        <v>15</v>
      </c>
    </row>
    <row r="21" spans="1:13" ht="15.75" thickBot="1" x14ac:dyDescent="0.3">
      <c r="A21" s="7" t="s">
        <v>34</v>
      </c>
      <c r="B21" s="7" t="s">
        <v>35</v>
      </c>
      <c r="C21" s="8">
        <v>97592087.230000004</v>
      </c>
      <c r="D21" s="8">
        <v>97592087.230000004</v>
      </c>
      <c r="E21" s="8">
        <v>17840068.84</v>
      </c>
      <c r="F21" s="8">
        <v>17840068.84</v>
      </c>
      <c r="G21" s="8">
        <v>115432156.06999999</v>
      </c>
      <c r="H21" s="8">
        <v>115432156.06999999</v>
      </c>
      <c r="I21" s="8">
        <v>115432156.06999999</v>
      </c>
      <c r="J21" s="8">
        <v>115432156.06999999</v>
      </c>
      <c r="K21" s="8">
        <v>0</v>
      </c>
      <c r="L21" s="8">
        <v>0</v>
      </c>
      <c r="M21" t="s">
        <v>37</v>
      </c>
    </row>
    <row r="22" spans="1:13" x14ac:dyDescent="0.25">
      <c r="A22" s="9" t="s">
        <v>32</v>
      </c>
      <c r="B22" s="9"/>
      <c r="C22" s="10">
        <v>97592087.230000004</v>
      </c>
      <c r="D22" s="10">
        <v>97592087.230000004</v>
      </c>
      <c r="E22" s="10">
        <v>17840068.84</v>
      </c>
      <c r="F22" s="10">
        <v>17840068.84</v>
      </c>
      <c r="G22" s="10">
        <v>115432156.06999999</v>
      </c>
      <c r="H22" s="10">
        <v>115432156.06999999</v>
      </c>
      <c r="I22" s="10">
        <v>115432156.06999999</v>
      </c>
      <c r="J22" s="10">
        <v>115432156.06999999</v>
      </c>
      <c r="K22" s="10">
        <v>115432156.06999999</v>
      </c>
      <c r="L22" s="10">
        <v>115432156.06999999</v>
      </c>
    </row>
  </sheetData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Izveštaj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Olivera  Pavlovic</cp:lastModifiedBy>
  <dcterms:created xsi:type="dcterms:W3CDTF">2026-10-30T09:31:43Z</dcterms:created>
  <dcterms:modified xsi:type="dcterms:W3CDTF">2026-10-30T09:53:19Z</dcterms:modified>
</cp:coreProperties>
</file>