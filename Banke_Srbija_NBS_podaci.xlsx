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e" sheetId="1" state="visible" r:id="rId3"/>
  </sheets>
  <definedNames>
    <definedName function="false" hidden="true" localSheetId="0" name="_xlnm._FilterDatabase" vbProcedure="false">Banke!$A$4:$AC$23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W24" authorId="0">
      <text>
        <r>
          <rPr>
            <sz val="10"/>
            <rFont val="Arial"/>
            <family val="2"/>
          </rPr>
          <t xml:space="preserve">Prosečan broj članova UO po banci</t>
        </r>
      </text>
    </comment>
  </commentList>
</comments>
</file>

<file path=xl/sharedStrings.xml><?xml version="1.0" encoding="utf-8"?>
<sst xmlns="http://schemas.openxmlformats.org/spreadsheetml/2006/main" count="442" uniqueCount="406">
  <si>
    <t xml:space="preserve">Banke u Republici Srbiji – svi podaci iz registra NBS</t>
  </si>
  <si>
    <t xml:space="preserve">Izvor: NBS, webappcenter.nbs.rs → Banke (stranica „Detalji“ svake banke). Preuzeto 29.10.2026. NBS navodi da se podaci ažuriraju kvartalno. Tekst prebačen iz ćirilice u latinicu.</t>
  </si>
  <si>
    <t xml:space="preserve">Rb.</t>
  </si>
  <si>
    <t xml:space="preserve">Naziv banke</t>
  </si>
  <si>
    <t xml:space="preserve">Grad</t>
  </si>
  <si>
    <t xml:space="preserve">Adresa</t>
  </si>
  <si>
    <t xml:space="preserve">Poštanski broj</t>
  </si>
  <si>
    <t xml:space="preserve">Matični broj</t>
  </si>
  <si>
    <t xml:space="preserve">PIB</t>
  </si>
  <si>
    <t xml:space="preserve">SWIFT</t>
  </si>
  <si>
    <t xml:space="preserve">Telefon</t>
  </si>
  <si>
    <t xml:space="preserve">Telefaks</t>
  </si>
  <si>
    <t xml:space="preserve">Veb sajt</t>
  </si>
  <si>
    <t xml:space="preserve">E-mail</t>
  </si>
  <si>
    <t xml:space="preserve">Rešenje o dozvoli za rad</t>
  </si>
  <si>
    <t xml:space="preserve">Datum dozvole za rad</t>
  </si>
  <si>
    <t xml:space="preserve">Broj zaposlenih</t>
  </si>
  <si>
    <t xml:space="preserve">Revizor</t>
  </si>
  <si>
    <t xml:space="preserve">Najveći akcionar</t>
  </si>
  <si>
    <t xml:space="preserve">Učešće najvećeg akcionara</t>
  </si>
  <si>
    <t xml:space="preserve">Akcionari preko 5% (svi)</t>
  </si>
  <si>
    <t xml:space="preserve">Broj akcionara &gt;5%</t>
  </si>
  <si>
    <t xml:space="preserve">Predsednik upravnog odbora</t>
  </si>
  <si>
    <t xml:space="preserve">Članovi upravnog odbora (sa funkcijom)</t>
  </si>
  <si>
    <t xml:space="preserve">Broj članova UO</t>
  </si>
  <si>
    <t xml:space="preserve">Od toga nezavisnih</t>
  </si>
  <si>
    <t xml:space="preserve">Predsednik izvršnog odbora</t>
  </si>
  <si>
    <t xml:space="preserve">Članovi izvršnog odbora (sa funkcijom)</t>
  </si>
  <si>
    <t xml:space="preserve">Broj članova IO</t>
  </si>
  <si>
    <t xml:space="preserve">Napomena NBS (promene naziva/sedišta)</t>
  </si>
  <si>
    <t xml:space="preserve">Link na NBS</t>
  </si>
  <si>
    <t xml:space="preserve">Addiko Bank a.d. Beograd</t>
  </si>
  <si>
    <t xml:space="preserve">Beograd</t>
  </si>
  <si>
    <t xml:space="preserve">Omladinskih brigada 90G, Beograd</t>
  </si>
  <si>
    <t xml:space="preserve">11000</t>
  </si>
  <si>
    <t xml:space="preserve">07726716</t>
  </si>
  <si>
    <t xml:space="preserve">100228215</t>
  </si>
  <si>
    <t xml:space="preserve">HAABRSBG</t>
  </si>
  <si>
    <t xml:space="preserve">+381 11 22 26 000; 22 26 713</t>
  </si>
  <si>
    <t xml:space="preserve">www.addiko.rs</t>
  </si>
  <si>
    <t xml:space="preserve">office.rs@addiko.com</t>
  </si>
  <si>
    <t xml:space="preserve">Rešenje NBJ O.br. 38</t>
  </si>
  <si>
    <t xml:space="preserve">27.2.1991</t>
  </si>
  <si>
    <t xml:space="preserve">PKF doo Beograd</t>
  </si>
  <si>
    <t xml:space="preserve">Addiko Bank AG</t>
  </si>
  <si>
    <t xml:space="preserve">Addiko Bank AG – 100,00%</t>
  </si>
  <si>
    <t xml:space="preserve">Ganeshkumar Krishnamoorthi</t>
  </si>
  <si>
    <t xml:space="preserve">Ganeshkumar Krishnamoorthi – Predsednik upravnog odbora
Marija Desivojević Cvetković – Nezavisni član upravnog odbora
Velimir Lukić – Nezavisni član upravnog odbora
Slađan Stanić – Član upravnog odbora
Petra Bašić Jantolić – Član upravnog odbora</t>
  </si>
  <si>
    <t xml:space="preserve">Srđan Kondić</t>
  </si>
  <si>
    <t xml:space="preserve">Srđan Kondić – Predsednik izvršnog odbora
Vladan Mihajličin – Član izvršnog odbora
Sava Ivanov Dalbokov – Član izvršnog odbora</t>
  </si>
  <si>
    <t xml:space="preserve">8.7.2016. godine, HYPO ALPE-ADRIA-BANK AD BEOGRAD je promenila poslovno ime u ADDIKO BANK AD BEOGRAD.</t>
  </si>
  <si>
    <t xml:space="preserve">https://webappcenter.nbs.rs/WebApp/FinInstBank/LegalEntityFinInstitution/Details?id=19a39c28-43fc-47cc-8587-5428c4496ce1</t>
  </si>
  <si>
    <t xml:space="preserve">AikBank akcionarsko društvo Beograd</t>
  </si>
  <si>
    <t xml:space="preserve">Bulevar Arsenija Čarnojevića 59a, Beograd</t>
  </si>
  <si>
    <t xml:space="preserve">11070</t>
  </si>
  <si>
    <t xml:space="preserve">06876366</t>
  </si>
  <si>
    <t xml:space="preserve">100618836</t>
  </si>
  <si>
    <t xml:space="preserve">AIKBRS22</t>
  </si>
  <si>
    <t xml:space="preserve">0800- 10 -10-15</t>
  </si>
  <si>
    <t xml:space="preserve">011/3129-787</t>
  </si>
  <si>
    <t xml:space="preserve">www.aikbanka.rs</t>
  </si>
  <si>
    <t xml:space="preserve">kabinet@aikbanka.rs</t>
  </si>
  <si>
    <t xml:space="preserve">Rešenje NBJ O. br. 194</t>
  </si>
  <si>
    <t xml:space="preserve">28.6.1993</t>
  </si>
  <si>
    <t xml:space="preserve">ERNST &amp; YOUNG DOO BEOGRAD</t>
  </si>
  <si>
    <t xml:space="preserve">Brokersko dilersko društvo "M &amp; V Investments" a.d. Beograd</t>
  </si>
  <si>
    <t xml:space="preserve">Brokersko dilersko društvo "M &amp; V Investments" a.d. Beograd – 100,00%</t>
  </si>
  <si>
    <t xml:space="preserve">Jelena Galić</t>
  </si>
  <si>
    <t xml:space="preserve">Jelena Galić – Predsednik upravnog odbora
Vladimir Poznanić – Nezavisni član upravnog odbora
Goran Pitić – Član upravnog odbora
Jovan Purar – Član upravnog odbora
Miroslav Bojić – Nezavisni član upravnog odbora
Vladimir Sekulić – Član upravnog odbora</t>
  </si>
  <si>
    <t xml:space="preserve">Petar Jovanović</t>
  </si>
  <si>
    <t xml:space="preserve">Petar Jovanović – Predsednik izvršnog odbora
Maja Grubor – Član izvršnog odbora
Maja Mikić – Član izvršnog odbora
Andrija Vuković – Član izvršnog odbora
Dušan Mihailović – Član izvršnog odbora</t>
  </si>
  <si>
    <t xml:space="preserve">28.3.2025. godine, AGROINDUSTRIJSKO KOMERCIJALNA BANKA "AIK BANKA" akcionarsko društvo Beograd je promenila svoje poslovno ime u AikBank akcionarsko društvo Beograd i sedište u Bulevar Arsenija Čarnojevića 59a, Novi Beograd. Registracija promene poslovnog imena i sedišta proizvodi pravno dejstvo prema trećim licima narednog dana od dana objavljivanja, tj. od 29.3.2025. godine.</t>
  </si>
  <si>
    <t xml:space="preserve">https://webappcenter.nbs.rs/WebApp/FinInstBank/LegalEntityFinInstitution/Details?id=dc7ae43e-0cb1-4aca-8b08-f83ed1e42281</t>
  </si>
  <si>
    <t xml:space="preserve">ALTA banka a.d. Beograd</t>
  </si>
  <si>
    <t xml:space="preserve">Bulevar Zorana Đinđića 121, Beograd</t>
  </si>
  <si>
    <t xml:space="preserve">11080</t>
  </si>
  <si>
    <t xml:space="preserve">07074433</t>
  </si>
  <si>
    <t xml:space="preserve">100001829</t>
  </si>
  <si>
    <t xml:space="preserve">JMBNRSBG</t>
  </si>
  <si>
    <t xml:space="preserve">011/2205-500; 2205-505</t>
  </si>
  <si>
    <t xml:space="preserve">011/3110-217; 3110-215</t>
  </si>
  <si>
    <t xml:space="preserve">www.altabanka.rs</t>
  </si>
  <si>
    <t xml:space="preserve">info@altabanka.rs</t>
  </si>
  <si>
    <t xml:space="preserve">Rešenje NBJ G. br. 628</t>
  </si>
  <si>
    <t xml:space="preserve">20.10.1997</t>
  </si>
  <si>
    <t xml:space="preserve">Društvo za reviziju i konsalting DFK Konsultant - Revizija doo Beograd</t>
  </si>
  <si>
    <t xml:space="preserve">ALTA GROUP DOO BEOGRAD</t>
  </si>
  <si>
    <t xml:space="preserve">ALTA GROUP DOO BEOGRAD – 100,00%</t>
  </si>
  <si>
    <t xml:space="preserve">Davor Macura</t>
  </si>
  <si>
    <t xml:space="preserve">Davor Macura – Predsednik upravnog odbora
Nebojša Stojanović – Nezavisni član upravnog odbora
prof.dr Aleksandar Živković – Nezavisni član upravnog odbora
Kristijan Ristić – Nezavisni član upravnog odbora
Vladimir Miladinović – Nezavisni član upravnog odbora</t>
  </si>
  <si>
    <t xml:space="preserve">dr Una Sikimić</t>
  </si>
  <si>
    <t xml:space="preserve">dr Una Sikimić – Predsednik izvršnog odbora
Tatjana Kuljak – Član izvršnog odbora
Nikola Krdžić – Član izvršnog odbora
Željko Devčić – Član izvršnog odbora
Bojan Pantović – Član izvršnog odbora</t>
  </si>
  <si>
    <t xml:space="preserve">27.3.2020. godine, Jubmes banka a.d. Beograd je promenila svoje poslovno ime u ALTA Banka a.d. Beograd. Registracija promene poslovnog imena proizvodi pravno dejstvo prema trećim licima narednog dana od dana objavljivanja.</t>
  </si>
  <si>
    <t xml:space="preserve">https://webappcenter.nbs.rs/WebApp/FinInstBank/LegalEntityFinInstitution/Details?id=c721ac7e-6856-4402-b8cc-2d5b3c46308e</t>
  </si>
  <si>
    <t xml:space="preserve">Adriatic Bank akcionarsko društvo Beograd</t>
  </si>
  <si>
    <t xml:space="preserve">Dalmatinska 22, Beograd</t>
  </si>
  <si>
    <t xml:space="preserve">07534183</t>
  </si>
  <si>
    <t xml:space="preserve">100003148</t>
  </si>
  <si>
    <t xml:space="preserve">LIKIRSBG</t>
  </si>
  <si>
    <t xml:space="preserve">011/3306-300</t>
  </si>
  <si>
    <t xml:space="preserve">www.adriaticbank.rs</t>
  </si>
  <si>
    <t xml:space="preserve">office@adriaticbank.rs</t>
  </si>
  <si>
    <t xml:space="preserve">Rešenje NBJ O.br. 269</t>
  </si>
  <si>
    <t xml:space="preserve">12.11.1990</t>
  </si>
  <si>
    <t xml:space="preserve">DFK Konsultant – Revizija DOO Beograd</t>
  </si>
  <si>
    <t xml:space="preserve">Alexander Shnaider, Izrael</t>
  </si>
  <si>
    <t xml:space="preserve">Alexander Shnaider, Izrael – 100,00%</t>
  </si>
  <si>
    <t xml:space="preserve">Wolfgang Mitterberger</t>
  </si>
  <si>
    <t xml:space="preserve">Wolfgang Mitterberger – Predsednik upravnog odbora
Bassem Snaije – Nezavisni član upravnog odbora
Aleksandar Preradović – Nezavisni član upravnog odbora
Fraser Eliot Marcus – Član upravnog odbora
Dragiša Lekić – Nezavisni član upravnog odbora</t>
  </si>
  <si>
    <t xml:space="preserve">Đorđe Lukić</t>
  </si>
  <si>
    <t xml:space="preserve">Đorđe Lukić – Predsednik izvršnog odbora
Marko Ćorić – Član izvršnog odbora
Andrija Crnogorac – Član izvršnog odbora
Marko Matić – Član izvršnog odbora</t>
  </si>
  <si>
    <t xml:space="preserve">2.6.2017. godine Marfin banka a.d. Beograd je promenila svoje poslovno ime u Expobank, a dana 31.8.2023. godine u Adriatic Bank a.d. Beograd</t>
  </si>
  <si>
    <t xml:space="preserve">https://webappcenter.nbs.rs/WebApp/FinInstBank/LegalEntityFinInstitution/Details?id=b9a27097-5a27-4896-b467-77feba175546</t>
  </si>
  <si>
    <t xml:space="preserve">API Bank akcionarsko društvo Beograd</t>
  </si>
  <si>
    <t xml:space="preserve">Bulevar Vojvode Bojovića 6-8, Beograd, PAK 104413</t>
  </si>
  <si>
    <t xml:space="preserve">20439866</t>
  </si>
  <si>
    <t xml:space="preserve">105701111</t>
  </si>
  <si>
    <t xml:space="preserve">APIBRSBG</t>
  </si>
  <si>
    <t xml:space="preserve">011/3952-213</t>
  </si>
  <si>
    <t xml:space="preserve">011/3952-240</t>
  </si>
  <si>
    <t xml:space="preserve">www.apibank.rs</t>
  </si>
  <si>
    <t xml:space="preserve">office@apibank.rs</t>
  </si>
  <si>
    <t xml:space="preserve">Rešenje NBS G. br. 4164</t>
  </si>
  <si>
    <t xml:space="preserve">13.5.2008</t>
  </si>
  <si>
    <t xml:space="preserve">Moore Stephens revizija i računovodstvo d.o.o. Beograd</t>
  </si>
  <si>
    <t xml:space="preserve">AZRS INVEST d.o.o. Beograd</t>
  </si>
  <si>
    <t xml:space="preserve">AZRS INVEST d.o.o. Beograd – 100,00%</t>
  </si>
  <si>
    <t xml:space="preserve">Vladislav Shliakhovoi</t>
  </si>
  <si>
    <t xml:space="preserve">Vladislav Shliakhovoi – Predsednik upravnog odbora
Aleksei Golubev – Nezavisni član upravnog odbora
Vladimir Andreevich Shliakhovoi – Član upravnog odbora
Goran Ljubičić – Nezavisni član upravnog odbora
Zoran Mitrović – Nezavisni član upravnog odbora</t>
  </si>
  <si>
    <t xml:space="preserve">Valentina Keiša</t>
  </si>
  <si>
    <t xml:space="preserve">Valentina Keiša – Predsednik izvršnog odbora
Radomir Stevanović – Član izvršnog odbora</t>
  </si>
  <si>
    <t xml:space="preserve">Dana 13.9.2013. godine Moskovska banka a.d. Beograd je registrovala promenu svog poslovnog imena u VTB Banka a.d. Beograd a dana 18.10.2018. godine u API Bank a.d. Beograd.</t>
  </si>
  <si>
    <t xml:space="preserve">https://webappcenter.nbs.rs/WebApp/FinInstBank/LegalEntityFinInstitution/Details?id=53483fc9-5e6e-432f-9be3-5db842e66651</t>
  </si>
  <si>
    <t xml:space="preserve">Banca Intesa akcionarsko društvo Beograd</t>
  </si>
  <si>
    <t xml:space="preserve">Milentija Popovića 7b, Beograd, PAK 190774</t>
  </si>
  <si>
    <t xml:space="preserve">07759231</t>
  </si>
  <si>
    <t xml:space="preserve">100001159</t>
  </si>
  <si>
    <t xml:space="preserve">DBDBRSBG</t>
  </si>
  <si>
    <t xml:space="preserve">011/2011-200</t>
  </si>
  <si>
    <t xml:space="preserve">011/2011-207</t>
  </si>
  <si>
    <t xml:space="preserve">www.bancaintesa.rs</t>
  </si>
  <si>
    <t xml:space="preserve">kabinet@bancaintesa.rs</t>
  </si>
  <si>
    <t xml:space="preserve">Rešenje NBJ O.br. 274</t>
  </si>
  <si>
    <t xml:space="preserve">19.9.1991</t>
  </si>
  <si>
    <t xml:space="preserve">BDO DOO BEOGRAD</t>
  </si>
  <si>
    <t xml:space="preserve">Intesa Holding International S.A.</t>
  </si>
  <si>
    <t xml:space="preserve">Intesa Holding International S.A. – 100,00%</t>
  </si>
  <si>
    <t xml:space="preserve">Draginja Đurić</t>
  </si>
  <si>
    <t xml:space="preserve">Draginja Đurić – Predsednik upravnog odbora
Elena Kohútiková – Zamenik predsednika
Maria Luisa Cicognani – Nezavisni član upravnog odbora
Dragan Lončar – Nezavisni član upravnog odbora
Massimo Malagoli – Član upravnog odbora
Achille Galdini – Član upravnog odbora
Ricardo Domenico Maria Dutto – Član upravnog odbora</t>
  </si>
  <si>
    <t xml:space="preserve">Darko Popović</t>
  </si>
  <si>
    <t xml:space="preserve">Darko Popović – Predsednik izvršnog odbora
Antonio Giovanni Maria Bergalio – Član izvršnog odbora
Đorđe Stojanovski – Član izvršnog odbora
Predrag Milenović – Član izvršnog odbora
Željko Petrović – Član izvršnog odbora
Zorana Branković – Član izvršnog odbora
Dragica Mihajlović – Član izvršnog odbora</t>
  </si>
  <si>
    <t xml:space="preserve">https://webappcenter.nbs.rs/WebApp/FinInstBank/LegalEntityFinInstitution/Details?id=621521dc-3644-4151-9b87-92378344c7f9</t>
  </si>
  <si>
    <t xml:space="preserve">Banka Poštanska štedionica, akcionarsko društvo, Beograd</t>
  </si>
  <si>
    <t xml:space="preserve">Kraljice Marije 3, Beograd</t>
  </si>
  <si>
    <t xml:space="preserve">11120</t>
  </si>
  <si>
    <t xml:space="preserve">07004893</t>
  </si>
  <si>
    <t xml:space="preserve">100002549</t>
  </si>
  <si>
    <t xml:space="preserve">SBPORSBG</t>
  </si>
  <si>
    <t xml:space="preserve">011/2020-292</t>
  </si>
  <si>
    <t xml:space="preserve">011/3376-777</t>
  </si>
  <si>
    <t xml:space="preserve">www.posted.co.rs</t>
  </si>
  <si>
    <t xml:space="preserve">razvoj@posted.co.rs</t>
  </si>
  <si>
    <t xml:space="preserve">Rešenje NBJ G.br. 5012</t>
  </si>
  <si>
    <t xml:space="preserve">21.11.2002</t>
  </si>
  <si>
    <t xml:space="preserve">MOORE STEPHENS REVIZIJA I RAČUNOVODSTVO DOO BEOGRAD</t>
  </si>
  <si>
    <t xml:space="preserve">Republika Srbija</t>
  </si>
  <si>
    <t xml:space="preserve">Republika Srbija – 78,58%
Pošta Srbije društvo s ograničenom odgovornošću, Beograd – 13,27%
Preduzeće za telekomunikacije Telekom Srbija akcionarsko društvo Beograd – 7,47%</t>
  </si>
  <si>
    <t xml:space="preserve">Smiljana Balšić</t>
  </si>
  <si>
    <t xml:space="preserve">Smiljana Balšić – Predsednik upravnog odbora
Vladimir Marković – Član upravnog odbora
Miroljub Ćosić – Nezavisni član upravnog odbora
Aleksandar Bjeličić – Član upravnog odbora
Gordana Pušić – Nezavisni član upravnog odbora
Miloš Đurić – Član upravnog odbora
Jelena Nedović – Član upravnog odbora</t>
  </si>
  <si>
    <t xml:space="preserve">mr Bojan Kekić</t>
  </si>
  <si>
    <t xml:space="preserve">mr Bojan Kekić – Predsednik izvršnog odbora
Nataša Marković – Član izvršnog odbora
Aleksandar Čortan – Član izvršnog odbora
Nikola Simić – Član izvršnog odbora
Brankica Tintor – Član izvršnog odbora</t>
  </si>
  <si>
    <t xml:space="preserve">https://webappcenter.nbs.rs/WebApp/FinInstBank/LegalEntityFinInstitution/Details?id=8adf8672-fcd3-4574-8706-a03b156533dd</t>
  </si>
  <si>
    <t xml:space="preserve">Bank of China Srbija, akcionarsko društvo, Beograd</t>
  </si>
  <si>
    <t xml:space="preserve">Bulevar Zorana Đinđića 2a, Beograd</t>
  </si>
  <si>
    <t xml:space="preserve">11173</t>
  </si>
  <si>
    <t xml:space="preserve">21251640</t>
  </si>
  <si>
    <t xml:space="preserve">109837136</t>
  </si>
  <si>
    <t xml:space="preserve">BKCHRSBG</t>
  </si>
  <si>
    <t xml:space="preserve">011/6351-000; 011/6351-001</t>
  </si>
  <si>
    <t xml:space="preserve">011/2280-777</t>
  </si>
  <si>
    <t xml:space="preserve">www.bankofchina.com/rs</t>
  </si>
  <si>
    <t xml:space="preserve">service.rs@bankofchina.com</t>
  </si>
  <si>
    <t xml:space="preserve">Rešenje NBS IO.br 105</t>
  </si>
  <si>
    <t xml:space="preserve">20.12.2016</t>
  </si>
  <si>
    <t xml:space="preserve">Bank of China (Europe) S.A., Luksemburg.</t>
  </si>
  <si>
    <t xml:space="preserve">Bank of China (Europe) S.A., Luksemburg. – 100,00%</t>
  </si>
  <si>
    <t xml:space="preserve">Qi Wenqing</t>
  </si>
  <si>
    <t xml:space="preserve">Qi Wenqing – Predsednik upravnog odbora
Zoran Popović – Nezavisni član upravnog odbora
Željko Sertić – Nezavisni član upravnog odbora
Peng Wei – Član upravnog odbora
Zhao Yi – Član upravnog odbora</t>
  </si>
  <si>
    <t xml:space="preserve">Li Lianhong</t>
  </si>
  <si>
    <t xml:space="preserve">Li Lianhong – Predsednik izvršnog odbora
Zhang Jianpei – Član izvršnog odbora
Slaviša Aleksić – Član izvršnog odbora</t>
  </si>
  <si>
    <t xml:space="preserve">https://webappcenter.nbs.rs/WebApp/FinInstBank/LegalEntityFinInstitution/Details?id=52d3ada0-489a-4aa6-9466-995db55c49ae</t>
  </si>
  <si>
    <t xml:space="preserve">Erste Bank Akcionarsko Društvo Novi Sad</t>
  </si>
  <si>
    <t xml:space="preserve">Novi Sad</t>
  </si>
  <si>
    <t xml:space="preserve">Industrijska 3J, Novi Sad</t>
  </si>
  <si>
    <t xml:space="preserve">21101</t>
  </si>
  <si>
    <t xml:space="preserve">08063818</t>
  </si>
  <si>
    <t xml:space="preserve">101626723</t>
  </si>
  <si>
    <t xml:space="preserve">GIBARS22</t>
  </si>
  <si>
    <t xml:space="preserve">0800/201-201;011/2015-005,+381/604848000</t>
  </si>
  <si>
    <t xml:space="preserve">021/4809-700; 011/2015-070</t>
  </si>
  <si>
    <t xml:space="preserve">www.erstebank.rs</t>
  </si>
  <si>
    <t xml:space="preserve">info@erstebank.rs</t>
  </si>
  <si>
    <t xml:space="preserve">Rešenje NBJ O. br. 202</t>
  </si>
  <si>
    <t xml:space="preserve">20.12.1989</t>
  </si>
  <si>
    <t xml:space="preserve">PWC d.o.o. Beograd</t>
  </si>
  <si>
    <t xml:space="preserve">ERSTE GROUP BANK AG</t>
  </si>
  <si>
    <t xml:space="preserve">ERSTE GROUP BANK AG – 74,00%
Steiermärkische Bank und Sparkassen AG, Graz – 26,00%</t>
  </si>
  <si>
    <t xml:space="preserve">Ingo Bleier</t>
  </si>
  <si>
    <t xml:space="preserve">Ingo Bleier – Predsednik upravnog odbora
Georg Bucher – Član upravnog odbora
Aleksandar Vlahović – Nezavisni član upravnog odbora
Tijana Vještica – Nezavisni član upravnog odbora
Hannes Frotzbacher – Član upravnog odbora
David Bichler – Član upravnog odbora</t>
  </si>
  <si>
    <t xml:space="preserve">Jasna Terzić</t>
  </si>
  <si>
    <t xml:space="preserve">Jasna Terzić – Predsednik izvršnog odbora
Suzan Tanriyar – Član izvršnog odbora
Juraj Tlsty – Član izvršnog odbora
Aleksandra Pavlović – Član izvršnog odbora</t>
  </si>
  <si>
    <t xml:space="preserve">4.9.2026. godine Erste Bank Akcionarsko Društvo Novi Sad, je promenila adresu svog sedišta u Novom Sadu iz ulice Bulevar oslobođenja 5 u ulicu Indrustrijska 3J. Registracija promene adrese sedišta proizvodi pravno dejstvo prema trećim licima od 5.9.2026. godine.</t>
  </si>
  <si>
    <t xml:space="preserve">https://webappcenter.nbs.rs/WebApp/FinInstBank/LegalEntityFinInstitution/Details?id=f05d3d66-8b5b-42f7-b06f-90e693ac7f0b</t>
  </si>
  <si>
    <t xml:space="preserve">HALKBANK akcionarsko društvo Beograd</t>
  </si>
  <si>
    <t xml:space="preserve">Milutina Milankovića 9e, Beograd</t>
  </si>
  <si>
    <t xml:space="preserve">07601093</t>
  </si>
  <si>
    <t xml:space="preserve">100895809</t>
  </si>
  <si>
    <t xml:space="preserve">CABARS22</t>
  </si>
  <si>
    <t xml:space="preserve">011/2041-800;</t>
  </si>
  <si>
    <t xml:space="preserve">011/2041-802</t>
  </si>
  <si>
    <t xml:space="preserve">www.halkbank.rs</t>
  </si>
  <si>
    <t xml:space="preserve">office@halkbank.rs</t>
  </si>
  <si>
    <t xml:space="preserve">Rešenje NBJ O. br. 328</t>
  </si>
  <si>
    <t xml:space="preserve">26.12.1990</t>
  </si>
  <si>
    <t xml:space="preserve">TURKISH HALK BANK INC</t>
  </si>
  <si>
    <t xml:space="preserve">TURKISH HALK BANK INC – 100,00%</t>
  </si>
  <si>
    <t xml:space="preserve">Recep Süleyman Özdil</t>
  </si>
  <si>
    <t xml:space="preserve">Recep Süleyman Özdil – Predsednik upravnog odbora
Dr Jasmina Bogićević – Nezavisni član upravnog odbora
Hamdi Coşgun – Član upravnog odbora
Vesna Vuković – Nezavisni član upravnog odbora
Soner Yalçin – Član upravnog odbora
İlhan Bölükbaș – Član upravnog odbora
Murat Yildirim – Član upravnog odbora</t>
  </si>
  <si>
    <t xml:space="preserve">Süleyman Bulut</t>
  </si>
  <si>
    <t xml:space="preserve">Süleyman Bulut – Predsednik izvršnog odbora
Đorđe Zelenović – Član izvršnog odbora
Hasan Cӧmert – Član izvršnog odbora
Mesut Pamuk – Član izvršnog odbora</t>
  </si>
  <si>
    <t xml:space="preserve">22.10.2015. godine, Čačanska banka a.d. Čačak je promenila svoje poslovno ime u HALKBANK akcionarsko društvo Beograd.</t>
  </si>
  <si>
    <t xml:space="preserve">https://webappcenter.nbs.rs/WebApp/FinInstBank/LegalEntityFinInstitution/Details?id=5928d700-5f17-4c16-8460-5cefdfd779e9</t>
  </si>
  <si>
    <t xml:space="preserve">NLB Banka AD Beograd</t>
  </si>
  <si>
    <t xml:space="preserve">Bulevar Mihajla Pupina 165V, Beograd</t>
  </si>
  <si>
    <t xml:space="preserve">07737068</t>
  </si>
  <si>
    <t xml:space="preserve">100001931</t>
  </si>
  <si>
    <t xml:space="preserve">KOBBRSBG</t>
  </si>
  <si>
    <t xml:space="preserve">011/20 18 600; 011/30 85 775</t>
  </si>
  <si>
    <t xml:space="preserve">011/30 85 775</t>
  </si>
  <si>
    <t xml:space="preserve">www.nlbkb.rs</t>
  </si>
  <si>
    <t xml:space="preserve">kabinet@nlbkb.rs</t>
  </si>
  <si>
    <t xml:space="preserve">Rešenje NBJ O.br. 206</t>
  </si>
  <si>
    <t xml:space="preserve">3.7.1991</t>
  </si>
  <si>
    <t xml:space="preserve">Ernst &amp; Young d.o.o. Beograd</t>
  </si>
  <si>
    <t xml:space="preserve">NLB D.D. LJUBLJANA</t>
  </si>
  <si>
    <t xml:space="preserve">NLB D.D. LJUBLJANA – 100,00%</t>
  </si>
  <si>
    <t xml:space="preserve">Archibald Kremser</t>
  </si>
  <si>
    <t xml:space="preserve">Archibald Kremser – Predsednik upravnog odbora
Dr Dragan Đuričin – Nezavisni član upravnog odbora
Nenad Filipović – Nezavisni član upravnog odbora
Igor Zalar – Član upravnog odbora
Vesna Vodopivec – Član upravnog odbora
Radovan Bajić – Nezavisni član upravnog odbora
Marjana Usenik – Član upravnog odbora
Andrej Lasič – Član upravnog odbora
Nataša Colnar – Član upravnog odbora</t>
  </si>
  <si>
    <t xml:space="preserve">Vlastimir Vuković</t>
  </si>
  <si>
    <t xml:space="preserve">Vlastimir Vuković – Predsednik izvršnog odbora
Vladimir Bošković – Član izvršnog odbora
Bojana Kaličanin Stojanović – Član izvršnog odbora
Alvin Aličević – Član izvršnog odbora</t>
  </si>
  <si>
    <t xml:space="preserve">29.4.2022. godine, Komercijalna banka a.d. Beograd je promenila svoje poslovno ime u NLB Komercijalna banka AD Beograd. Registracija promene poslovnog imena proizvodi pravno dejstvo prema trećim licima od 30.4.2022. godine. 1.9.2026. godine, NLB Komercijalna banka a.d. Beograd je promenila svoje poslovno ime u NLB Banka AD Beograd. Registracija promene poslovnog imena proizvodi pravno dejstvo prema trećim licima od 2.9.2026. godine.</t>
  </si>
  <si>
    <t xml:space="preserve">https://webappcenter.nbs.rs/WebApp/FinInstBank/LegalEntityFinInstitution/Details?id=db0743dc-3932-497a-b89a-e80ef13786cf</t>
  </si>
  <si>
    <t xml:space="preserve">Mirabank, akcionarsko društvo, Beograd</t>
  </si>
  <si>
    <t xml:space="preserve">Španskih boraca 1, Beograd, PAK 190732</t>
  </si>
  <si>
    <t xml:space="preserve">21080608</t>
  </si>
  <si>
    <t xml:space="preserve">108851504</t>
  </si>
  <si>
    <t xml:space="preserve">MRBNRSBG</t>
  </si>
  <si>
    <t xml:space="preserve">(381) 011 63 55 400; 63 55 405</t>
  </si>
  <si>
    <t xml:space="preserve">(381) 011 63 55 404</t>
  </si>
  <si>
    <t xml:space="preserve">www.mirabankserbia.com</t>
  </si>
  <si>
    <t xml:space="preserve">office@mirabankserbia.com</t>
  </si>
  <si>
    <t xml:space="preserve">Rešenje NBS IO br. 58</t>
  </si>
  <si>
    <t xml:space="preserve">16.12.2024</t>
  </si>
  <si>
    <t xml:space="preserve">ARROYO HOLDING RSC LTD, Abu Dabi</t>
  </si>
  <si>
    <t xml:space="preserve">ARROYO HOLDING RSC LTD, Abu Dabi – 100,00%</t>
  </si>
  <si>
    <t xml:space="preserve">Dalia Hazem Gamil Khorshid</t>
  </si>
  <si>
    <t xml:space="preserve">Dalia Hazem Gamil Khorshid – Predsednik upravnog odbora
Mustafa G.Kheriba – Nezavisni član upravnog odbora
Dejan Nikolić – Nezavisni član upravnog odbora
Murshed Abdo Murshed AlRedaini – Nezavisni član upravnog odbora
Ram Chandra – Član upravnog odbora
Majed Fuad Mohammad Odeh – Član upravnog odbora
Mohamed Ahmed Sherif Aboulfadl – Član upravnog odbora</t>
  </si>
  <si>
    <t xml:space="preserve">Nikola Mihailović</t>
  </si>
  <si>
    <t xml:space="preserve">Nikola Mihailović – Predsednik izvršnog odbora
Marijana Trifković – Član izvršnog odbora</t>
  </si>
  <si>
    <t xml:space="preserve">Banka je upisana u Registar privrednih subjekata Rešenjem APR BD 8779 od 5.2.2015. godine.</t>
  </si>
  <si>
    <t xml:space="preserve">https://webappcenter.nbs.rs/WebApp/FinInstBank/LegalEntityFinInstitution/Details?id=dff9fa37-3035-47bc-b071-fc1b396c154f</t>
  </si>
  <si>
    <t xml:space="preserve">3 BANKA AKCIONARSKO DRUŠTVO NOVI SAD</t>
  </si>
  <si>
    <t xml:space="preserve">Bulevar oslobođenja 2a, Novi Sad, PAK 401311</t>
  </si>
  <si>
    <t xml:space="preserve">21000</t>
  </si>
  <si>
    <t xml:space="preserve">08761132</t>
  </si>
  <si>
    <t xml:space="preserve">101643574</t>
  </si>
  <si>
    <t xml:space="preserve">OPPBRS22</t>
  </si>
  <si>
    <t xml:space="preserve">021/530-111; 021/4893-120</t>
  </si>
  <si>
    <t xml:space="preserve">021/4893-123</t>
  </si>
  <si>
    <t xml:space="preserve">www.3bank.rs</t>
  </si>
  <si>
    <t xml:space="preserve">office@3bank.rs</t>
  </si>
  <si>
    <t xml:space="preserve">Rešenje NBS G.br. 2683</t>
  </si>
  <si>
    <t xml:space="preserve">7.2.2007</t>
  </si>
  <si>
    <t xml:space="preserve">KPMG d.o.o. Beograd</t>
  </si>
  <si>
    <t xml:space="preserve">UMWELTBANK AKTIENGESELLSCHAFT</t>
  </si>
  <si>
    <t xml:space="preserve">UMWELTBANK AKTIENGESELLSCHAFT – 25,37%
GLS GEMEINSCHAFTSBANK E.G. – 19,83%
LEGAL OWNER TRIODOS FUNDS BV – 13,89%
TRIODOSC SICAV II – 9,50%
FIDEA GROUP S.A.R.L. LUKSEMBURG – 6,80%</t>
  </si>
  <si>
    <t xml:space="preserve">Goran Bašić</t>
  </si>
  <si>
    <t xml:space="preserve">Goran Bašić – Predsednik upravnog odbora
Timotheus Crijns-Gordinou de Gouberville – Član upravnog odbora
Georg Christoph von Carlowitz – Član upravnog odbora
Zorica Sedlar – Član upravnog odbora
Jelena Bulatović – Nezavisni član upravnog odbora
Zorica Stevanović – Nezavisni član upravnog odbora
Andrew Pospielovsky – Nezavisni član upravnog odbora</t>
  </si>
  <si>
    <t xml:space="preserve">Vladimir Vukotić</t>
  </si>
  <si>
    <t xml:space="preserve">Vladimir Vukotić – Predsednik izvršnog odbora
Slobodan Smiljković – Član izvršnog odbora
Novak Rakočević – Član izvršnog odbora
Rajko Maljković – Član izvršnog odbora</t>
  </si>
  <si>
    <t xml:space="preserve">19.11.2021. godine, Opportunity banka a.d. Novi Sad je promenila svoje poslovno ime u 3 Banka akcionarsko društvo Novi Sad. Registracija promene poslovnog imena proizvodi pravno dejstvo prema trećim licima od 22.11.2021. godine.</t>
  </si>
  <si>
    <t xml:space="preserve">https://webappcenter.nbs.rs/WebApp/FinInstBank/LegalEntityFinInstitution/Details?id=4a463abf-56c3-4258-9975-e312fdc8f194</t>
  </si>
  <si>
    <t xml:space="preserve">OTP banka Srbija akcionarsko društvo Novi Sad</t>
  </si>
  <si>
    <t xml:space="preserve">Trg slobode 5, Novi Sad</t>
  </si>
  <si>
    <t xml:space="preserve">08603537</t>
  </si>
  <si>
    <t xml:space="preserve">100584604</t>
  </si>
  <si>
    <t xml:space="preserve">OTPVRS22</t>
  </si>
  <si>
    <t xml:space="preserve">021/4800001; 011/3011-506</t>
  </si>
  <si>
    <t xml:space="preserve">021/48-000-32; 011/3132-885</t>
  </si>
  <si>
    <t xml:space="preserve">www.otpbanka.rs</t>
  </si>
  <si>
    <t xml:space="preserve">office@otpbanka.rs</t>
  </si>
  <si>
    <t xml:space="preserve">Rešenje NBJ G.br. 415</t>
  </si>
  <si>
    <t xml:space="preserve">5.5.1995</t>
  </si>
  <si>
    <t xml:space="preserve">OTP Bank PLC, Budimpešta, Mađarska</t>
  </si>
  <si>
    <t xml:space="preserve">OTP Bank PLC, Budimpešta, Mađarska – 100,00%</t>
  </si>
  <si>
    <t xml:space="preserve">Gabor Kolics</t>
  </si>
  <si>
    <t xml:space="preserve">Gabor Kolics – Predsednik upravnog odbora
Vlatko Sekulović – Nezavisni član upravnog odbora
Zoran Jovanović – Nezavisni član upravnog odbora
Endre Marias – Član upravnog odbora
Marton Gergely Molnar – Član upravnog odbora
Ildiko Taksz – Nezavisni član upravnog odbora</t>
  </si>
  <si>
    <t xml:space="preserve">Predrag Mihajlović</t>
  </si>
  <si>
    <t xml:space="preserve">Predrag Mihajlović – Predsednik izvršnog odbora
Balazs Balogh – Član izvršnog odbora
Branimir Spasić – Član izvršnog odbora
Marija Popović – Član izvršnog odbora
Marko Rakić – Član izvršnog odbora
Rosanda Milatović Skorić – Član izvršnog odbora
Zorana Aleksić – Član izvršnog odbora</t>
  </si>
  <si>
    <t xml:space="preserve">25.4.2019. godine, OTP Banka Srbija a.d. Novi Sad je promenila svoje poslovno ime u Vojvođanska banka a.d. Novi Sad a 30.4.2021. godine je promenila poslovno ime u OTP Banka Srbija akcionarsko društvo Novi Sad.</t>
  </si>
  <si>
    <t xml:space="preserve">https://webappcenter.nbs.rs/WebApp/FinInstBank/LegalEntityFinInstitution/Details?id=8060e9ba-4727-4ff6-b677-76cc9f208e58</t>
  </si>
  <si>
    <t xml:space="preserve">ProCredit Bank a.d. Beograd</t>
  </si>
  <si>
    <t xml:space="preserve">Milutina Milankovića 17, Beograd, PAK 191603</t>
  </si>
  <si>
    <t xml:space="preserve">11077</t>
  </si>
  <si>
    <t xml:space="preserve">17335677</t>
  </si>
  <si>
    <t xml:space="preserve">100000215</t>
  </si>
  <si>
    <t xml:space="preserve">PRCBRSBG</t>
  </si>
  <si>
    <t xml:space="preserve">(381) 011/205-7000</t>
  </si>
  <si>
    <t xml:space="preserve">www.procreditbank.rs</t>
  </si>
  <si>
    <t xml:space="preserve">srb.info.procreditbank@procredit-group.com</t>
  </si>
  <si>
    <t xml:space="preserve">Rešenje NBJ G.br. 538</t>
  </si>
  <si>
    <t xml:space="preserve">5.4.2001</t>
  </si>
  <si>
    <t xml:space="preserve">Deloitte d.o.o. Beograd</t>
  </si>
  <si>
    <t xml:space="preserve">ProCredit Holding AG (IMI)</t>
  </si>
  <si>
    <t xml:space="preserve">ProCredit Holding AG (IMI) – 100,00%</t>
  </si>
  <si>
    <t xml:space="preserve">Dr Gian Marco Felice</t>
  </si>
  <si>
    <t xml:space="preserve">Dr Gian Marco Felice – Predsednik upravnog odbora
Prof.dr Dragan Stojković – Nezavisni član upravnog odbora
Goran Živkov – Nezavisni član upravnog odbora
Patrick Silvan Zeitinger – Član upravnog odbora
Berna Ülman – Član upravnog odbora</t>
  </si>
  <si>
    <t xml:space="preserve">Igor Anić</t>
  </si>
  <si>
    <t xml:space="preserve">Igor Anić – Predsednik izvršnog odbora
Ivan Smiljković – Član izvršnog odbora
Nemanja Tomić – Član izvršnog odbora</t>
  </si>
  <si>
    <t xml:space="preserve">https://webappcenter.nbs.rs/WebApp/FinInstBank/LegalEntityFinInstitution/Details?id=d03c4598-de42-4ccf-b56e-e11cc7d566fc</t>
  </si>
  <si>
    <t xml:space="preserve">Raiffeisen banka a.d. Beograd</t>
  </si>
  <si>
    <t xml:space="preserve">Đorđa Stanojevića 16, Beograd, PAK 191627</t>
  </si>
  <si>
    <t xml:space="preserve">17335600</t>
  </si>
  <si>
    <t xml:space="preserve">100000299</t>
  </si>
  <si>
    <t xml:space="preserve">RZBSRSBG</t>
  </si>
  <si>
    <t xml:space="preserve">011/3202-100; 2207-011</t>
  </si>
  <si>
    <t xml:space="preserve">011/3346-033</t>
  </si>
  <si>
    <t xml:space="preserve">www.raiffeisenbank.rs</t>
  </si>
  <si>
    <t xml:space="preserve">kabinet.io@raiffeisenbank.rs</t>
  </si>
  <si>
    <t xml:space="preserve">Rešenje NBJ G.br. 318</t>
  </si>
  <si>
    <t xml:space="preserve">9.3.2001</t>
  </si>
  <si>
    <t xml:space="preserve">Raiffeisen SEE Region Holding Gmbh, BEE</t>
  </si>
  <si>
    <t xml:space="preserve">Raiffeisen SEE Region Holding Gmbh, BEE – 100,00%</t>
  </si>
  <si>
    <t xml:space="preserve">Marie Valerie Brunner</t>
  </si>
  <si>
    <t xml:space="preserve">Marie Valerie Brunner – Predsednik upravnog odbora
Barbara Pichler – Član upravnog odbora
Nenad Sibinović – Nezavisni član upravnog odbora
Matthias Dekan – Član upravnog odbora
Robert Wagenleitner – Član upravnog odbora
Aleksandra Jović – Nezavisni član upravnog odbora</t>
  </si>
  <si>
    <t xml:space="preserve">Zoran Petrović</t>
  </si>
  <si>
    <t xml:space="preserve">Zoran Petrović – Predsednik izvršnog odbora
Jelena Aksić – Član izvršnog odbora
Milosav Knežević – Član izvršnog odbora
Tanja Glišin – Član izvršnog odbora
Svetlana Maraš – Član izvršnog odbora</t>
  </si>
  <si>
    <t xml:space="preserve">https://webappcenter.nbs.rs/WebApp/FinInstBank/LegalEntityFinInstitution/Details?id=07f72ee5-483b-4261-9648-26a1c1ad2f22</t>
  </si>
  <si>
    <t xml:space="preserve">SRPSKA BANKA akcionarsko društvo, Beograd</t>
  </si>
  <si>
    <t xml:space="preserve">Bulevar Kralja Aleksandra I Karađorđevića 25, Beograd, PAK 111106</t>
  </si>
  <si>
    <t xml:space="preserve">07092288</t>
  </si>
  <si>
    <t xml:space="preserve">100000387</t>
  </si>
  <si>
    <t xml:space="preserve">SRBNRSBG</t>
  </si>
  <si>
    <t xml:space="preserve">011/3607-200; 3607-499; 3607-251</t>
  </si>
  <si>
    <t xml:space="preserve">011/2646-855; 2659-492</t>
  </si>
  <si>
    <t xml:space="preserve">www.srpskabanka.rs</t>
  </si>
  <si>
    <t xml:space="preserve">banka@srpskabanka.rs</t>
  </si>
  <si>
    <t xml:space="preserve">Rešenje NBJ G. br. 920</t>
  </si>
  <si>
    <t xml:space="preserve">4.11.1996</t>
  </si>
  <si>
    <t xml:space="preserve">BDO doo Beograd</t>
  </si>
  <si>
    <t xml:space="preserve">Republika Srbija – 76,69%
Jugoimport SDPR – 23,31%</t>
  </si>
  <si>
    <t xml:space="preserve">Dejan Rakić</t>
  </si>
  <si>
    <t xml:space="preserve">Dejan Rakić – Predsednik upravnog odbora
Nenad Ivančević – Član upravnog odbora
Milan Antić – Nezavisni član upravnog odbora
Sanja Zagorac Knežević – Nezavisni član upravnog odbora
Prof. dr Zoran Bingulac – Nezavisni član upravnog odbora</t>
  </si>
  <si>
    <t xml:space="preserve">Vesna Jokanović</t>
  </si>
  <si>
    <t xml:space="preserve">Vesna Jokanović – Predsednik izvršnog odbora
Branka Vuković – Član izvršnog odbora
Marija Gavrić – Član izvršnog odbora</t>
  </si>
  <si>
    <t xml:space="preserve">https://webappcenter.nbs.rs/WebApp/FinInstBank/LegalEntityFinInstitution/Details?id=e5e5b49b-e107-429e-81b9-ed56925fa8ee</t>
  </si>
  <si>
    <t xml:space="preserve">UniCredit Bank Srbija a.d. Beograd</t>
  </si>
  <si>
    <t xml:space="preserve">Rajićeva 27-29, Beograd, PAK 113401</t>
  </si>
  <si>
    <t xml:space="preserve">17324918</t>
  </si>
  <si>
    <t xml:space="preserve">100000170</t>
  </si>
  <si>
    <t xml:space="preserve">BACXRSBG</t>
  </si>
  <si>
    <t xml:space="preserve">011/3777-888; 011/3204-501</t>
  </si>
  <si>
    <t xml:space="preserve">011/3342-200</t>
  </si>
  <si>
    <t xml:space="preserve">www.unicreditbank.rs</t>
  </si>
  <si>
    <t xml:space="preserve">kabinet@unicreditgroup.rs</t>
  </si>
  <si>
    <t xml:space="preserve">Rešenje NBJ G.br. 1437</t>
  </si>
  <si>
    <t xml:space="preserve">2.7.2001</t>
  </si>
  <si>
    <t xml:space="preserve">UniCredit SpA, Milano, Italija</t>
  </si>
  <si>
    <t xml:space="preserve">UniCredit SpA, Milano, Italija – 100,00%</t>
  </si>
  <si>
    <t xml:space="preserve">Martin Klauzer</t>
  </si>
  <si>
    <t xml:space="preserve">Martin Klauzer – Predsednik upravnog odbora
Nevena Nikše – Član upravnog odbora
Jelena Mihić Munjić – Nezavisni član upravnog odbora
Branko Radulović – Nezavisni član upravnog odbora
Alessandra Protopapa – Član upravnog odbora
Borislav Bangeev – Član upravnog odbora</t>
  </si>
  <si>
    <t xml:space="preserve">Nikola Vuletić</t>
  </si>
  <si>
    <t xml:space="preserve">Nikola Vuletić – Predsednik izvršnog odbora
Dimitar Lichev – Član izvršnog odbora
Ivana Ivić – Član izvršnog odbora
Rastko Nicić – Član izvršnog odbora
Sanja Radojčić Sobo – Član izvršnog odbora
Filip Stikić – Član izvršnog odbora
Miloš Belić – Član izvršnog odbora</t>
  </si>
  <si>
    <t xml:space="preserve">https://webappcenter.nbs.rs/WebApp/FinInstBank/LegalEntityFinInstitution/Details?id=ecfd151c-1d11-49d7-acd3-fb4071f6eba3</t>
  </si>
  <si>
    <t xml:space="preserve">Yettel Bank ad Beograd</t>
  </si>
  <si>
    <t xml:space="preserve">Omladinskih brigada 88, Beograd</t>
  </si>
  <si>
    <t xml:space="preserve">11073</t>
  </si>
  <si>
    <t xml:space="preserve">17138669</t>
  </si>
  <si>
    <t xml:space="preserve">100000049</t>
  </si>
  <si>
    <t xml:space="preserve">AAAARSBG</t>
  </si>
  <si>
    <t xml:space="preserve">011/4409-670, 063 389 035</t>
  </si>
  <si>
    <t xml:space="preserve">011/4409-650</t>
  </si>
  <si>
    <t xml:space="preserve">www.yettelbank.rs</t>
  </si>
  <si>
    <t xml:space="preserve">officebanka@yettelbank.rs</t>
  </si>
  <si>
    <t xml:space="preserve">Rešenje NBJ G.br. 346</t>
  </si>
  <si>
    <t xml:space="preserve">24.4.1996</t>
  </si>
  <si>
    <t xml:space="preserve">PPF Financial Holdings a.s., Prag, Republika Češka</t>
  </si>
  <si>
    <t xml:space="preserve">PPF Financial Holdings a.s., Prag, Republika Češka – 100,00%</t>
  </si>
  <si>
    <t xml:space="preserve">Vanja Stanković</t>
  </si>
  <si>
    <t xml:space="preserve">Vanja Stanković – Predsednik upravnog odbora
Snežana Miletić – Nezavisni član upravnog odbora
Marek Slačik – Član upravnog odbora
Marian Mike Michel – Član upravnog odbora
Prof. dr Milorad Filipović – Nezavisni član upravnog odbora</t>
  </si>
  <si>
    <t xml:space="preserve">Aleksandar Bogdanović</t>
  </si>
  <si>
    <t xml:space="preserve">Aleksandar Bogdanović – Predsednik izvršnog odbora
Periša Puletić – Član izvršnog odbora
Predrag Panić – Član izvršnog odbora
Marko Tepavac – Član izvršnog odbora
Vladimir Pajović – Član izvršnog odbora</t>
  </si>
  <si>
    <t xml:space="preserve">24.5.2024. godine Mobi Banka a.d. Beograd je promenila svoje poslovno ime u Yettel Bank a.d. Beograd. Registracija promene poslovnog imena proizvodi pravno dejstvo prema trećim licima narednog dana od dana objavljivanja, tj od 25.5.2024. godine.</t>
  </si>
  <si>
    <t xml:space="preserve">https://webappcenter.nbs.rs/WebApp/FinInstBank/LegalEntityFinInstitution/Details?id=0fa4a5e5-dcd8-4aa6-a293-abc73c57b49c</t>
  </si>
  <si>
    <t xml:space="preserve">Ukupno / prosek</t>
  </si>
  <si>
    <t xml:space="preserve">Broj banaka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</si>
</sst>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ebappcenter.nbs.rs/WebApp/FinInstBank/LegalEntityFinInstitution/Details?id=19a39c28-43fc-47cc-8587-5428c4496ce1" TargetMode="External"/><Relationship Id="rId3" Type="http://schemas.openxmlformats.org/officeDocument/2006/relationships/hyperlink" Target="https://webappcenter.nbs.rs/WebApp/FinInstBank/LegalEntityFinInstitution/Details?id=dc7ae43e-0cb1-4aca-8b08-f83ed1e42281" TargetMode="External"/><Relationship Id="rId4" Type="http://schemas.openxmlformats.org/officeDocument/2006/relationships/hyperlink" Target="https://webappcenter.nbs.rs/WebApp/FinInstBank/LegalEntityFinInstitution/Details?id=c721ac7e-6856-4402-b8cc-2d5b3c46308e" TargetMode="External"/><Relationship Id="rId5" Type="http://schemas.openxmlformats.org/officeDocument/2006/relationships/hyperlink" Target="https://webappcenter.nbs.rs/WebApp/FinInstBank/LegalEntityFinInstitution/Details?id=b9a27097-5a27-4896-b467-77feba175546" TargetMode="External"/><Relationship Id="rId6" Type="http://schemas.openxmlformats.org/officeDocument/2006/relationships/hyperlink" Target="https://webappcenter.nbs.rs/WebApp/FinInstBank/LegalEntityFinInstitution/Details?id=53483fc9-5e6e-432f-9be3-5db842e66651" TargetMode="External"/><Relationship Id="rId7" Type="http://schemas.openxmlformats.org/officeDocument/2006/relationships/hyperlink" Target="https://webappcenter.nbs.rs/WebApp/FinInstBank/LegalEntityFinInstitution/Details?id=621521dc-3644-4151-9b87-92378344c7f9" TargetMode="External"/><Relationship Id="rId8" Type="http://schemas.openxmlformats.org/officeDocument/2006/relationships/hyperlink" Target="https://webappcenter.nbs.rs/WebApp/FinInstBank/LegalEntityFinInstitution/Details?id=8adf8672-fcd3-4574-8706-a03b156533dd" TargetMode="External"/><Relationship Id="rId9" Type="http://schemas.openxmlformats.org/officeDocument/2006/relationships/hyperlink" Target="https://webappcenter.nbs.rs/WebApp/FinInstBank/LegalEntityFinInstitution/Details?id=52d3ada0-489a-4aa6-9466-995db55c49ae" TargetMode="External"/><Relationship Id="rId10" Type="http://schemas.openxmlformats.org/officeDocument/2006/relationships/hyperlink" Target="https://webappcenter.nbs.rs/WebApp/FinInstBank/LegalEntityFinInstitution/Details?id=f05d3d66-8b5b-42f7-b06f-90e693ac7f0b" TargetMode="External"/><Relationship Id="rId11" Type="http://schemas.openxmlformats.org/officeDocument/2006/relationships/hyperlink" Target="https://webappcenter.nbs.rs/WebApp/FinInstBank/LegalEntityFinInstitution/Details?id=5928d700-5f17-4c16-8460-5cefdfd779e9" TargetMode="External"/><Relationship Id="rId12" Type="http://schemas.openxmlformats.org/officeDocument/2006/relationships/hyperlink" Target="https://webappcenter.nbs.rs/WebApp/FinInstBank/LegalEntityFinInstitution/Details?id=db0743dc-3932-497a-b89a-e80ef13786cf" TargetMode="External"/><Relationship Id="rId13" Type="http://schemas.openxmlformats.org/officeDocument/2006/relationships/hyperlink" Target="https://webappcenter.nbs.rs/WebApp/FinInstBank/LegalEntityFinInstitution/Details?id=dff9fa37-3035-47bc-b071-fc1b396c154f" TargetMode="External"/><Relationship Id="rId14" Type="http://schemas.openxmlformats.org/officeDocument/2006/relationships/hyperlink" Target="https://webappcenter.nbs.rs/WebApp/FinInstBank/LegalEntityFinInstitution/Details?id=4a463abf-56c3-4258-9975-e312fdc8f194" TargetMode="External"/><Relationship Id="rId15" Type="http://schemas.openxmlformats.org/officeDocument/2006/relationships/hyperlink" Target="https://webappcenter.nbs.rs/WebApp/FinInstBank/LegalEntityFinInstitution/Details?id=8060e9ba-4727-4ff6-b677-76cc9f208e58" TargetMode="External"/><Relationship Id="rId16" Type="http://schemas.openxmlformats.org/officeDocument/2006/relationships/hyperlink" Target="https://webappcenter.nbs.rs/WebApp/FinInstBank/LegalEntityFinInstitution/Details?id=d03c4598-de42-4ccf-b56e-e11cc7d566fc" TargetMode="External"/><Relationship Id="rId17" Type="http://schemas.openxmlformats.org/officeDocument/2006/relationships/hyperlink" Target="https://webappcenter.nbs.rs/WebApp/FinInstBank/LegalEntityFinInstitution/Details?id=07f72ee5-483b-4261-9648-26a1c1ad2f22" TargetMode="External"/><Relationship Id="rId18" Type="http://schemas.openxmlformats.org/officeDocument/2006/relationships/hyperlink" Target="https://webappcenter.nbs.rs/WebApp/FinInstBank/LegalEntityFinInstitution/Details?id=e5e5b49b-e107-429e-81b9-ed56925fa8ee" TargetMode="External"/><Relationship Id="rId19" Type="http://schemas.openxmlformats.org/officeDocument/2006/relationships/hyperlink" Target="https://webappcenter.nbs.rs/WebApp/FinInstBank/LegalEntityFinInstitution/Details?id=ecfd151c-1d11-49d7-acd3-fb4071f6eba3" TargetMode="External"/><Relationship Id="rId20" Type="http://schemas.openxmlformats.org/officeDocument/2006/relationships/hyperlink" Target="https://webappcenter.nbs.rs/WebApp/FinInstBank/LegalEntityFinInstitution/Details?id=0fa4a5e5-dcd8-4aa6-a293-abc73c57b49c" TargetMode="External"/><Relationship Id="rId21" Type="http://schemas.openxmlformats.org/officeDocument/2006/relationships/drawing" Target="../drawings/drawing1.xml"/><Relationship Id="rId2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9"/>
    <col collapsed="false" customWidth="true" hidden="false" outlineLevel="0" max="8" min="6" style="0" width="11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20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28"/>
    <col collapsed="false" customWidth="true" hidden="false" outlineLevel="0" max="17" min="17" style="0" width="30"/>
    <col collapsed="false" customWidth="true" hidden="false" outlineLevel="0" max="18" min="18" style="0" width="10"/>
    <col collapsed="false" customWidth="true" hidden="false" outlineLevel="0" max="19" min="19" style="0" width="40"/>
    <col collapsed="false" customWidth="true" hidden="false" outlineLevel="0" max="20" min="20" style="0" width="9"/>
    <col collapsed="false" customWidth="true" hidden="false" outlineLevel="0" max="21" min="21" style="0" width="24"/>
    <col collapsed="false" customWidth="true" hidden="false" outlineLevel="0" max="22" min="22" style="0" width="48"/>
    <col collapsed="false" customWidth="true" hidden="false" outlineLevel="0" max="23" min="23" style="0" width="8"/>
    <col collapsed="false" customWidth="true" hidden="false" outlineLevel="0" max="24" min="24" style="0" width="9"/>
    <col collapsed="false" customWidth="true" hidden="false" outlineLevel="0" max="25" min="25" style="0" width="24"/>
    <col collapsed="false" customWidth="true" hidden="false" outlineLevel="0" max="26" min="26" style="0" width="46"/>
    <col collapsed="false" customWidth="true" hidden="false" outlineLevel="0" max="27" min="27" style="0" width="8"/>
    <col collapsed="false" customWidth="true" hidden="false" outlineLevel="0" max="28" min="28" style="0" width="50"/>
    <col collapsed="false" customWidth="true" hidden="false" outlineLevel="0" max="29" min="29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customFormat="false" ht="53.7" hidden="false" customHeight="false" outlineLevel="0" collapsed="false">
      <c r="A5" s="4" t="n">
        <v>1</v>
      </c>
      <c r="B5" s="4" t="s">
        <v>31</v>
      </c>
      <c r="C5" s="4" t="s">
        <v>32</v>
      </c>
      <c r="D5" s="4" t="s">
        <v>33</v>
      </c>
      <c r="E5" s="5" t="s">
        <v>34</v>
      </c>
      <c r="F5" s="5" t="s">
        <v>35</v>
      </c>
      <c r="G5" s="5" t="s">
        <v>36</v>
      </c>
      <c r="H5" s="4" t="s">
        <v>37</v>
      </c>
      <c r="I5" s="4" t="s">
        <v>38</v>
      </c>
      <c r="J5" s="4"/>
      <c r="K5" s="4" t="s">
        <v>39</v>
      </c>
      <c r="L5" s="4" t="s">
        <v>40</v>
      </c>
      <c r="M5" s="4" t="s">
        <v>41</v>
      </c>
      <c r="N5" s="4" t="s">
        <v>42</v>
      </c>
      <c r="O5" s="6" t="n">
        <v>583</v>
      </c>
      <c r="P5" s="4" t="s">
        <v>43</v>
      </c>
      <c r="Q5" s="4" t="s">
        <v>44</v>
      </c>
      <c r="R5" s="7" t="n">
        <v>1</v>
      </c>
      <c r="S5" s="4" t="s">
        <v>45</v>
      </c>
      <c r="T5" s="4" t="n">
        <v>1</v>
      </c>
      <c r="U5" s="4" t="s">
        <v>46</v>
      </c>
      <c r="V5" s="4" t="s">
        <v>47</v>
      </c>
      <c r="W5" s="4" t="n">
        <v>5</v>
      </c>
      <c r="X5" s="4" t="n">
        <v>2</v>
      </c>
      <c r="Y5" s="4" t="s">
        <v>48</v>
      </c>
      <c r="Z5" s="4" t="s">
        <v>49</v>
      </c>
      <c r="AA5" s="4" t="n">
        <v>3</v>
      </c>
      <c r="AB5" s="4" t="s">
        <v>50</v>
      </c>
      <c r="AC5" s="8" t="s">
        <v>51</v>
      </c>
    </row>
    <row r="6" customFormat="false" ht="74.6" hidden="false" customHeight="false" outlineLevel="0" collapsed="false">
      <c r="A6" s="4" t="n">
        <v>2</v>
      </c>
      <c r="B6" s="4" t="s">
        <v>52</v>
      </c>
      <c r="C6" s="4" t="s">
        <v>32</v>
      </c>
      <c r="D6" s="4" t="s">
        <v>53</v>
      </c>
      <c r="E6" s="5" t="s">
        <v>54</v>
      </c>
      <c r="F6" s="5" t="s">
        <v>55</v>
      </c>
      <c r="G6" s="5" t="s">
        <v>56</v>
      </c>
      <c r="H6" s="4" t="s">
        <v>57</v>
      </c>
      <c r="I6" s="4" t="s">
        <v>58</v>
      </c>
      <c r="J6" s="4" t="s">
        <v>59</v>
      </c>
      <c r="K6" s="4" t="s">
        <v>60</v>
      </c>
      <c r="L6" s="4" t="s">
        <v>61</v>
      </c>
      <c r="M6" s="4" t="s">
        <v>62</v>
      </c>
      <c r="N6" s="4" t="s">
        <v>63</v>
      </c>
      <c r="O6" s="6" t="n">
        <v>2233</v>
      </c>
      <c r="P6" s="4" t="s">
        <v>64</v>
      </c>
      <c r="Q6" s="4" t="s">
        <v>65</v>
      </c>
      <c r="R6" s="7" t="n">
        <v>1</v>
      </c>
      <c r="S6" s="4" t="s">
        <v>66</v>
      </c>
      <c r="T6" s="4" t="n">
        <v>1</v>
      </c>
      <c r="U6" s="4" t="s">
        <v>67</v>
      </c>
      <c r="V6" s="4" t="s">
        <v>68</v>
      </c>
      <c r="W6" s="4" t="n">
        <v>6</v>
      </c>
      <c r="X6" s="4" t="n">
        <v>2</v>
      </c>
      <c r="Y6" s="4" t="s">
        <v>69</v>
      </c>
      <c r="Z6" s="4" t="s">
        <v>70</v>
      </c>
      <c r="AA6" s="4" t="n">
        <v>5</v>
      </c>
      <c r="AB6" s="4" t="s">
        <v>71</v>
      </c>
      <c r="AC6" s="8" t="s">
        <v>72</v>
      </c>
    </row>
    <row r="7" customFormat="false" ht="53.7" hidden="false" customHeight="false" outlineLevel="0" collapsed="false">
      <c r="A7" s="4" t="n">
        <v>3</v>
      </c>
      <c r="B7" s="4" t="s">
        <v>73</v>
      </c>
      <c r="C7" s="4" t="s">
        <v>32</v>
      </c>
      <c r="D7" s="4" t="s">
        <v>74</v>
      </c>
      <c r="E7" s="5" t="s">
        <v>75</v>
      </c>
      <c r="F7" s="5" t="s">
        <v>76</v>
      </c>
      <c r="G7" s="5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4" t="s">
        <v>84</v>
      </c>
      <c r="O7" s="6" t="n">
        <v>688</v>
      </c>
      <c r="P7" s="4" t="s">
        <v>85</v>
      </c>
      <c r="Q7" s="4" t="s">
        <v>86</v>
      </c>
      <c r="R7" s="7" t="n">
        <v>1</v>
      </c>
      <c r="S7" s="4" t="s">
        <v>87</v>
      </c>
      <c r="T7" s="4" t="n">
        <v>1</v>
      </c>
      <c r="U7" s="4" t="s">
        <v>88</v>
      </c>
      <c r="V7" s="4" t="s">
        <v>89</v>
      </c>
      <c r="W7" s="4" t="n">
        <v>5</v>
      </c>
      <c r="X7" s="4" t="n">
        <v>4</v>
      </c>
      <c r="Y7" s="4" t="s">
        <v>90</v>
      </c>
      <c r="Z7" s="4" t="s">
        <v>91</v>
      </c>
      <c r="AA7" s="4" t="n">
        <v>5</v>
      </c>
      <c r="AB7" s="4" t="s">
        <v>92</v>
      </c>
      <c r="AC7" s="8" t="s">
        <v>93</v>
      </c>
    </row>
    <row r="8" customFormat="false" ht="53.7" hidden="false" customHeight="false" outlineLevel="0" collapsed="false">
      <c r="A8" s="4" t="n">
        <v>4</v>
      </c>
      <c r="B8" s="4" t="s">
        <v>94</v>
      </c>
      <c r="C8" s="4" t="s">
        <v>32</v>
      </c>
      <c r="D8" s="4" t="s">
        <v>95</v>
      </c>
      <c r="E8" s="5" t="s">
        <v>34</v>
      </c>
      <c r="F8" s="5" t="s">
        <v>96</v>
      </c>
      <c r="G8" s="5" t="s">
        <v>97</v>
      </c>
      <c r="H8" s="4" t="s">
        <v>98</v>
      </c>
      <c r="I8" s="4" t="s">
        <v>99</v>
      </c>
      <c r="J8" s="4" t="s">
        <v>99</v>
      </c>
      <c r="K8" s="4" t="s">
        <v>100</v>
      </c>
      <c r="L8" s="4" t="s">
        <v>101</v>
      </c>
      <c r="M8" s="4" t="s">
        <v>102</v>
      </c>
      <c r="N8" s="4" t="s">
        <v>103</v>
      </c>
      <c r="O8" s="6" t="n">
        <v>190</v>
      </c>
      <c r="P8" s="4" t="s">
        <v>104</v>
      </c>
      <c r="Q8" s="4" t="s">
        <v>105</v>
      </c>
      <c r="R8" s="7" t="n">
        <v>1</v>
      </c>
      <c r="S8" s="4" t="s">
        <v>106</v>
      </c>
      <c r="T8" s="4" t="n">
        <v>1</v>
      </c>
      <c r="U8" s="4" t="s">
        <v>107</v>
      </c>
      <c r="V8" s="4" t="s">
        <v>108</v>
      </c>
      <c r="W8" s="4" t="n">
        <v>5</v>
      </c>
      <c r="X8" s="4" t="n">
        <v>3</v>
      </c>
      <c r="Y8" s="4" t="s">
        <v>109</v>
      </c>
      <c r="Z8" s="4" t="s">
        <v>110</v>
      </c>
      <c r="AA8" s="4" t="n">
        <v>4</v>
      </c>
      <c r="AB8" s="4" t="s">
        <v>111</v>
      </c>
      <c r="AC8" s="8" t="s">
        <v>112</v>
      </c>
    </row>
    <row r="9" customFormat="false" ht="53.7" hidden="false" customHeight="false" outlineLevel="0" collapsed="false">
      <c r="A9" s="4" t="n">
        <v>5</v>
      </c>
      <c r="B9" s="4" t="s">
        <v>113</v>
      </c>
      <c r="C9" s="4" t="s">
        <v>32</v>
      </c>
      <c r="D9" s="4" t="s">
        <v>114</v>
      </c>
      <c r="E9" s="5" t="s">
        <v>34</v>
      </c>
      <c r="F9" s="5" t="s">
        <v>115</v>
      </c>
      <c r="G9" s="5" t="s">
        <v>116</v>
      </c>
      <c r="H9" s="4" t="s">
        <v>117</v>
      </c>
      <c r="I9" s="4" t="s">
        <v>118</v>
      </c>
      <c r="J9" s="4" t="s">
        <v>119</v>
      </c>
      <c r="K9" s="4" t="s">
        <v>120</v>
      </c>
      <c r="L9" s="4" t="s">
        <v>121</v>
      </c>
      <c r="M9" s="4" t="s">
        <v>122</v>
      </c>
      <c r="N9" s="4" t="s">
        <v>123</v>
      </c>
      <c r="O9" s="6" t="n">
        <v>102</v>
      </c>
      <c r="P9" s="4" t="s">
        <v>124</v>
      </c>
      <c r="Q9" s="4" t="s">
        <v>125</v>
      </c>
      <c r="R9" s="7" t="n">
        <v>1</v>
      </c>
      <c r="S9" s="4" t="s">
        <v>126</v>
      </c>
      <c r="T9" s="4" t="n">
        <v>1</v>
      </c>
      <c r="U9" s="4" t="s">
        <v>127</v>
      </c>
      <c r="V9" s="4" t="s">
        <v>128</v>
      </c>
      <c r="W9" s="4" t="n">
        <v>5</v>
      </c>
      <c r="X9" s="4" t="n">
        <v>3</v>
      </c>
      <c r="Y9" s="4" t="s">
        <v>129</v>
      </c>
      <c r="Z9" s="4" t="s">
        <v>130</v>
      </c>
      <c r="AA9" s="4" t="n">
        <v>2</v>
      </c>
      <c r="AB9" s="4" t="s">
        <v>131</v>
      </c>
      <c r="AC9" s="8" t="s">
        <v>132</v>
      </c>
    </row>
    <row r="10" customFormat="false" ht="74.6" hidden="false" customHeight="false" outlineLevel="0" collapsed="false">
      <c r="A10" s="4" t="n">
        <v>6</v>
      </c>
      <c r="B10" s="4" t="s">
        <v>133</v>
      </c>
      <c r="C10" s="4" t="s">
        <v>32</v>
      </c>
      <c r="D10" s="4" t="s">
        <v>134</v>
      </c>
      <c r="E10" s="5" t="s">
        <v>34</v>
      </c>
      <c r="F10" s="5" t="s">
        <v>135</v>
      </c>
      <c r="G10" s="5" t="s">
        <v>136</v>
      </c>
      <c r="H10" s="4" t="s">
        <v>137</v>
      </c>
      <c r="I10" s="4" t="s">
        <v>138</v>
      </c>
      <c r="J10" s="4" t="s">
        <v>139</v>
      </c>
      <c r="K10" s="4" t="s">
        <v>140</v>
      </c>
      <c r="L10" s="4" t="s">
        <v>141</v>
      </c>
      <c r="M10" s="4" t="s">
        <v>142</v>
      </c>
      <c r="N10" s="4" t="s">
        <v>143</v>
      </c>
      <c r="O10" s="6" t="n">
        <v>2884</v>
      </c>
      <c r="P10" s="4" t="s">
        <v>144</v>
      </c>
      <c r="Q10" s="4" t="s">
        <v>145</v>
      </c>
      <c r="R10" s="7" t="n">
        <v>1</v>
      </c>
      <c r="S10" s="4" t="s">
        <v>146</v>
      </c>
      <c r="T10" s="4" t="n">
        <v>1</v>
      </c>
      <c r="U10" s="4" t="s">
        <v>147</v>
      </c>
      <c r="V10" s="4" t="s">
        <v>148</v>
      </c>
      <c r="W10" s="4" t="n">
        <v>7</v>
      </c>
      <c r="X10" s="4" t="n">
        <v>2</v>
      </c>
      <c r="Y10" s="4" t="s">
        <v>149</v>
      </c>
      <c r="Z10" s="4" t="s">
        <v>150</v>
      </c>
      <c r="AA10" s="4" t="n">
        <v>7</v>
      </c>
      <c r="AB10" s="4"/>
      <c r="AC10" s="8" t="s">
        <v>151</v>
      </c>
    </row>
    <row r="11" customFormat="false" ht="74.6" hidden="false" customHeight="false" outlineLevel="0" collapsed="false">
      <c r="A11" s="4" t="n">
        <v>7</v>
      </c>
      <c r="B11" s="4" t="s">
        <v>152</v>
      </c>
      <c r="C11" s="4" t="s">
        <v>32</v>
      </c>
      <c r="D11" s="4" t="s">
        <v>153</v>
      </c>
      <c r="E11" s="5" t="s">
        <v>154</v>
      </c>
      <c r="F11" s="5" t="s">
        <v>155</v>
      </c>
      <c r="G11" s="5" t="s">
        <v>156</v>
      </c>
      <c r="H11" s="4" t="s">
        <v>157</v>
      </c>
      <c r="I11" s="4" t="s">
        <v>158</v>
      </c>
      <c r="J11" s="4" t="s">
        <v>159</v>
      </c>
      <c r="K11" s="4" t="s">
        <v>160</v>
      </c>
      <c r="L11" s="4" t="s">
        <v>161</v>
      </c>
      <c r="M11" s="4" t="s">
        <v>162</v>
      </c>
      <c r="N11" s="4" t="s">
        <v>163</v>
      </c>
      <c r="O11" s="6" t="n">
        <v>2711</v>
      </c>
      <c r="P11" s="4" t="s">
        <v>164</v>
      </c>
      <c r="Q11" s="4" t="s">
        <v>165</v>
      </c>
      <c r="R11" s="7" t="n">
        <v>0.7858</v>
      </c>
      <c r="S11" s="4" t="s">
        <v>166</v>
      </c>
      <c r="T11" s="4" t="n">
        <v>3</v>
      </c>
      <c r="U11" s="4" t="s">
        <v>167</v>
      </c>
      <c r="V11" s="4" t="s">
        <v>168</v>
      </c>
      <c r="W11" s="4" t="n">
        <v>7</v>
      </c>
      <c r="X11" s="4" t="n">
        <v>2</v>
      </c>
      <c r="Y11" s="4" t="s">
        <v>169</v>
      </c>
      <c r="Z11" s="4" t="s">
        <v>170</v>
      </c>
      <c r="AA11" s="4" t="n">
        <v>5</v>
      </c>
      <c r="AB11" s="4"/>
      <c r="AC11" s="8" t="s">
        <v>171</v>
      </c>
    </row>
    <row r="12" customFormat="false" ht="53.7" hidden="false" customHeight="false" outlineLevel="0" collapsed="false">
      <c r="A12" s="4" t="n">
        <v>8</v>
      </c>
      <c r="B12" s="4" t="s">
        <v>172</v>
      </c>
      <c r="C12" s="4" t="s">
        <v>32</v>
      </c>
      <c r="D12" s="4" t="s">
        <v>173</v>
      </c>
      <c r="E12" s="5" t="s">
        <v>174</v>
      </c>
      <c r="F12" s="5" t="s">
        <v>175</v>
      </c>
      <c r="G12" s="5" t="s">
        <v>176</v>
      </c>
      <c r="H12" s="4" t="s">
        <v>177</v>
      </c>
      <c r="I12" s="4" t="s">
        <v>178</v>
      </c>
      <c r="J12" s="4" t="s">
        <v>179</v>
      </c>
      <c r="K12" s="4" t="s">
        <v>180</v>
      </c>
      <c r="L12" s="4" t="s">
        <v>181</v>
      </c>
      <c r="M12" s="4" t="s">
        <v>182</v>
      </c>
      <c r="N12" s="4" t="s">
        <v>183</v>
      </c>
      <c r="O12" s="6" t="n">
        <v>33</v>
      </c>
      <c r="P12" s="4" t="s">
        <v>64</v>
      </c>
      <c r="Q12" s="4" t="s">
        <v>184</v>
      </c>
      <c r="R12" s="7" t="n">
        <v>1</v>
      </c>
      <c r="S12" s="4" t="s">
        <v>185</v>
      </c>
      <c r="T12" s="4" t="n">
        <v>1</v>
      </c>
      <c r="U12" s="4" t="s">
        <v>186</v>
      </c>
      <c r="V12" s="4" t="s">
        <v>187</v>
      </c>
      <c r="W12" s="4" t="n">
        <v>5</v>
      </c>
      <c r="X12" s="4" t="n">
        <v>2</v>
      </c>
      <c r="Y12" s="4" t="s">
        <v>188</v>
      </c>
      <c r="Z12" s="4" t="s">
        <v>189</v>
      </c>
      <c r="AA12" s="4" t="n">
        <v>3</v>
      </c>
      <c r="AB12" s="4"/>
      <c r="AC12" s="8" t="s">
        <v>190</v>
      </c>
    </row>
    <row r="13" customFormat="false" ht="64.15" hidden="false" customHeight="false" outlineLevel="0" collapsed="false">
      <c r="A13" s="4" t="n">
        <v>9</v>
      </c>
      <c r="B13" s="4" t="s">
        <v>191</v>
      </c>
      <c r="C13" s="4" t="s">
        <v>192</v>
      </c>
      <c r="D13" s="4" t="s">
        <v>193</v>
      </c>
      <c r="E13" s="5" t="s">
        <v>194</v>
      </c>
      <c r="F13" s="5" t="s">
        <v>195</v>
      </c>
      <c r="G13" s="5" t="s">
        <v>196</v>
      </c>
      <c r="H13" s="4" t="s">
        <v>197</v>
      </c>
      <c r="I13" s="4" t="s">
        <v>198</v>
      </c>
      <c r="J13" s="4" t="s">
        <v>199</v>
      </c>
      <c r="K13" s="4" t="s">
        <v>200</v>
      </c>
      <c r="L13" s="4" t="s">
        <v>201</v>
      </c>
      <c r="M13" s="4" t="s">
        <v>202</v>
      </c>
      <c r="N13" s="4" t="s">
        <v>203</v>
      </c>
      <c r="O13" s="6" t="n">
        <v>1334</v>
      </c>
      <c r="P13" s="4" t="s">
        <v>204</v>
      </c>
      <c r="Q13" s="4" t="s">
        <v>205</v>
      </c>
      <c r="R13" s="7" t="n">
        <v>0.74</v>
      </c>
      <c r="S13" s="4" t="s">
        <v>206</v>
      </c>
      <c r="T13" s="4" t="n">
        <v>2</v>
      </c>
      <c r="U13" s="4" t="s">
        <v>207</v>
      </c>
      <c r="V13" s="4" t="s">
        <v>208</v>
      </c>
      <c r="W13" s="4" t="n">
        <v>6</v>
      </c>
      <c r="X13" s="4" t="n">
        <v>2</v>
      </c>
      <c r="Y13" s="4" t="s">
        <v>209</v>
      </c>
      <c r="Z13" s="4" t="s">
        <v>210</v>
      </c>
      <c r="AA13" s="4" t="n">
        <v>4</v>
      </c>
      <c r="AB13" s="4" t="s">
        <v>211</v>
      </c>
      <c r="AC13" s="8" t="s">
        <v>212</v>
      </c>
    </row>
    <row r="14" customFormat="false" ht="74.6" hidden="false" customHeight="false" outlineLevel="0" collapsed="false">
      <c r="A14" s="4" t="n">
        <v>10</v>
      </c>
      <c r="B14" s="4" t="s">
        <v>213</v>
      </c>
      <c r="C14" s="4" t="s">
        <v>32</v>
      </c>
      <c r="D14" s="4" t="s">
        <v>214</v>
      </c>
      <c r="E14" s="5" t="s">
        <v>54</v>
      </c>
      <c r="F14" s="5" t="s">
        <v>215</v>
      </c>
      <c r="G14" s="5" t="s">
        <v>216</v>
      </c>
      <c r="H14" s="4" t="s">
        <v>217</v>
      </c>
      <c r="I14" s="4" t="s">
        <v>218</v>
      </c>
      <c r="J14" s="4" t="s">
        <v>219</v>
      </c>
      <c r="K14" s="4" t="s">
        <v>220</v>
      </c>
      <c r="L14" s="4" t="s">
        <v>221</v>
      </c>
      <c r="M14" s="4" t="s">
        <v>222</v>
      </c>
      <c r="N14" s="4" t="s">
        <v>223</v>
      </c>
      <c r="O14" s="6" t="n">
        <v>840</v>
      </c>
      <c r="P14" s="4" t="s">
        <v>204</v>
      </c>
      <c r="Q14" s="4" t="s">
        <v>224</v>
      </c>
      <c r="R14" s="7" t="n">
        <v>1</v>
      </c>
      <c r="S14" s="4" t="s">
        <v>225</v>
      </c>
      <c r="T14" s="4" t="n">
        <v>1</v>
      </c>
      <c r="U14" s="4" t="s">
        <v>226</v>
      </c>
      <c r="V14" s="4" t="s">
        <v>227</v>
      </c>
      <c r="W14" s="4" t="n">
        <v>7</v>
      </c>
      <c r="X14" s="4" t="n">
        <v>2</v>
      </c>
      <c r="Y14" s="4" t="s">
        <v>228</v>
      </c>
      <c r="Z14" s="4" t="s">
        <v>229</v>
      </c>
      <c r="AA14" s="4" t="n">
        <v>4</v>
      </c>
      <c r="AB14" s="4" t="s">
        <v>230</v>
      </c>
      <c r="AC14" s="8" t="s">
        <v>231</v>
      </c>
    </row>
    <row r="15" customFormat="false" ht="95.5" hidden="false" customHeight="false" outlineLevel="0" collapsed="false">
      <c r="A15" s="4" t="n">
        <v>11</v>
      </c>
      <c r="B15" s="4" t="s">
        <v>232</v>
      </c>
      <c r="C15" s="4" t="s">
        <v>32</v>
      </c>
      <c r="D15" s="4" t="s">
        <v>233</v>
      </c>
      <c r="E15" s="5" t="s">
        <v>34</v>
      </c>
      <c r="F15" s="5" t="s">
        <v>234</v>
      </c>
      <c r="G15" s="5" t="s">
        <v>235</v>
      </c>
      <c r="H15" s="4" t="s">
        <v>236</v>
      </c>
      <c r="I15" s="4" t="s">
        <v>237</v>
      </c>
      <c r="J15" s="4" t="s">
        <v>238</v>
      </c>
      <c r="K15" s="4" t="s">
        <v>239</v>
      </c>
      <c r="L15" s="4" t="s">
        <v>240</v>
      </c>
      <c r="M15" s="4" t="s">
        <v>241</v>
      </c>
      <c r="N15" s="4" t="s">
        <v>242</v>
      </c>
      <c r="O15" s="6" t="n">
        <v>2116</v>
      </c>
      <c r="P15" s="4" t="s">
        <v>243</v>
      </c>
      <c r="Q15" s="4" t="s">
        <v>244</v>
      </c>
      <c r="R15" s="7" t="n">
        <v>1</v>
      </c>
      <c r="S15" s="4" t="s">
        <v>245</v>
      </c>
      <c r="T15" s="4" t="n">
        <v>1</v>
      </c>
      <c r="U15" s="4" t="s">
        <v>246</v>
      </c>
      <c r="V15" s="4" t="s">
        <v>247</v>
      </c>
      <c r="W15" s="4" t="n">
        <v>9</v>
      </c>
      <c r="X15" s="4" t="n">
        <v>3</v>
      </c>
      <c r="Y15" s="4" t="s">
        <v>248</v>
      </c>
      <c r="Z15" s="4" t="s">
        <v>249</v>
      </c>
      <c r="AA15" s="4" t="n">
        <v>4</v>
      </c>
      <c r="AB15" s="4" t="s">
        <v>250</v>
      </c>
      <c r="AC15" s="8" t="s">
        <v>251</v>
      </c>
    </row>
    <row r="16" customFormat="false" ht="85.05" hidden="false" customHeight="false" outlineLevel="0" collapsed="false">
      <c r="A16" s="4" t="n">
        <v>12</v>
      </c>
      <c r="B16" s="4" t="s">
        <v>252</v>
      </c>
      <c r="C16" s="4" t="s">
        <v>32</v>
      </c>
      <c r="D16" s="4" t="s">
        <v>253</v>
      </c>
      <c r="E16" s="5" t="s">
        <v>54</v>
      </c>
      <c r="F16" s="5" t="s">
        <v>254</v>
      </c>
      <c r="G16" s="5" t="s">
        <v>255</v>
      </c>
      <c r="H16" s="4" t="s">
        <v>256</v>
      </c>
      <c r="I16" s="4" t="s">
        <v>257</v>
      </c>
      <c r="J16" s="4" t="s">
        <v>258</v>
      </c>
      <c r="K16" s="4" t="s">
        <v>259</v>
      </c>
      <c r="L16" s="4" t="s">
        <v>260</v>
      </c>
      <c r="M16" s="4" t="s">
        <v>261</v>
      </c>
      <c r="N16" s="4" t="s">
        <v>262</v>
      </c>
      <c r="O16" s="6" t="n">
        <v>46</v>
      </c>
      <c r="P16" s="4" t="s">
        <v>64</v>
      </c>
      <c r="Q16" s="4" t="s">
        <v>263</v>
      </c>
      <c r="R16" s="7" t="n">
        <v>1</v>
      </c>
      <c r="S16" s="4" t="s">
        <v>264</v>
      </c>
      <c r="T16" s="4" t="n">
        <v>1</v>
      </c>
      <c r="U16" s="4" t="s">
        <v>265</v>
      </c>
      <c r="V16" s="4" t="s">
        <v>266</v>
      </c>
      <c r="W16" s="4" t="n">
        <v>7</v>
      </c>
      <c r="X16" s="4" t="n">
        <v>3</v>
      </c>
      <c r="Y16" s="4" t="s">
        <v>267</v>
      </c>
      <c r="Z16" s="4" t="s">
        <v>268</v>
      </c>
      <c r="AA16" s="4" t="n">
        <v>2</v>
      </c>
      <c r="AB16" s="4" t="s">
        <v>269</v>
      </c>
      <c r="AC16" s="8" t="s">
        <v>270</v>
      </c>
    </row>
    <row r="17" customFormat="false" ht="85.05" hidden="false" customHeight="false" outlineLevel="0" collapsed="false">
      <c r="A17" s="4" t="n">
        <v>13</v>
      </c>
      <c r="B17" s="4" t="s">
        <v>271</v>
      </c>
      <c r="C17" s="4" t="s">
        <v>192</v>
      </c>
      <c r="D17" s="4" t="s">
        <v>272</v>
      </c>
      <c r="E17" s="5" t="s">
        <v>273</v>
      </c>
      <c r="F17" s="5" t="s">
        <v>274</v>
      </c>
      <c r="G17" s="5" t="s">
        <v>275</v>
      </c>
      <c r="H17" s="4" t="s">
        <v>276</v>
      </c>
      <c r="I17" s="4" t="s">
        <v>277</v>
      </c>
      <c r="J17" s="4" t="s">
        <v>278</v>
      </c>
      <c r="K17" s="4" t="s">
        <v>279</v>
      </c>
      <c r="L17" s="4" t="s">
        <v>280</v>
      </c>
      <c r="M17" s="4" t="s">
        <v>281</v>
      </c>
      <c r="N17" s="4" t="s">
        <v>282</v>
      </c>
      <c r="O17" s="6" t="n">
        <v>488</v>
      </c>
      <c r="P17" s="4" t="s">
        <v>283</v>
      </c>
      <c r="Q17" s="4" t="s">
        <v>284</v>
      </c>
      <c r="R17" s="7" t="n">
        <v>0.2537</v>
      </c>
      <c r="S17" s="4" t="s">
        <v>285</v>
      </c>
      <c r="T17" s="4" t="n">
        <v>5</v>
      </c>
      <c r="U17" s="4" t="s">
        <v>286</v>
      </c>
      <c r="V17" s="4" t="s">
        <v>287</v>
      </c>
      <c r="W17" s="4" t="n">
        <v>7</v>
      </c>
      <c r="X17" s="4" t="n">
        <v>3</v>
      </c>
      <c r="Y17" s="4" t="s">
        <v>288</v>
      </c>
      <c r="Z17" s="4" t="s">
        <v>289</v>
      </c>
      <c r="AA17" s="4" t="n">
        <v>4</v>
      </c>
      <c r="AB17" s="4" t="s">
        <v>290</v>
      </c>
      <c r="AC17" s="8" t="s">
        <v>291</v>
      </c>
    </row>
    <row r="18" customFormat="false" ht="74.6" hidden="false" customHeight="false" outlineLevel="0" collapsed="false">
      <c r="A18" s="4" t="n">
        <v>14</v>
      </c>
      <c r="B18" s="4" t="s">
        <v>292</v>
      </c>
      <c r="C18" s="4" t="s">
        <v>192</v>
      </c>
      <c r="D18" s="4" t="s">
        <v>293</v>
      </c>
      <c r="E18" s="5" t="s">
        <v>194</v>
      </c>
      <c r="F18" s="5" t="s">
        <v>294</v>
      </c>
      <c r="G18" s="5" t="s">
        <v>295</v>
      </c>
      <c r="H18" s="4" t="s">
        <v>296</v>
      </c>
      <c r="I18" s="4" t="s">
        <v>297</v>
      </c>
      <c r="J18" s="4" t="s">
        <v>298</v>
      </c>
      <c r="K18" s="4" t="s">
        <v>299</v>
      </c>
      <c r="L18" s="4" t="s">
        <v>300</v>
      </c>
      <c r="M18" s="4" t="s">
        <v>301</v>
      </c>
      <c r="N18" s="4" t="s">
        <v>302</v>
      </c>
      <c r="O18" s="6" t="n">
        <v>2656</v>
      </c>
      <c r="P18" s="4" t="s">
        <v>164</v>
      </c>
      <c r="Q18" s="4" t="s">
        <v>303</v>
      </c>
      <c r="R18" s="7" t="n">
        <v>1</v>
      </c>
      <c r="S18" s="4" t="s">
        <v>304</v>
      </c>
      <c r="T18" s="4" t="n">
        <v>1</v>
      </c>
      <c r="U18" s="4" t="s">
        <v>305</v>
      </c>
      <c r="V18" s="4" t="s">
        <v>306</v>
      </c>
      <c r="W18" s="4" t="n">
        <v>6</v>
      </c>
      <c r="X18" s="4" t="n">
        <v>3</v>
      </c>
      <c r="Y18" s="4" t="s">
        <v>307</v>
      </c>
      <c r="Z18" s="4" t="s">
        <v>308</v>
      </c>
      <c r="AA18" s="4" t="n">
        <v>7</v>
      </c>
      <c r="AB18" s="4" t="s">
        <v>309</v>
      </c>
      <c r="AC18" s="8" t="s">
        <v>310</v>
      </c>
    </row>
    <row r="19" customFormat="false" ht="53.7" hidden="false" customHeight="false" outlineLevel="0" collapsed="false">
      <c r="A19" s="4" t="n">
        <v>15</v>
      </c>
      <c r="B19" s="4" t="s">
        <v>311</v>
      </c>
      <c r="C19" s="4" t="s">
        <v>32</v>
      </c>
      <c r="D19" s="4" t="s">
        <v>312</v>
      </c>
      <c r="E19" s="5" t="s">
        <v>313</v>
      </c>
      <c r="F19" s="5" t="s">
        <v>314</v>
      </c>
      <c r="G19" s="5" t="s">
        <v>315</v>
      </c>
      <c r="H19" s="4" t="s">
        <v>316</v>
      </c>
      <c r="I19" s="4" t="s">
        <v>317</v>
      </c>
      <c r="J19" s="4"/>
      <c r="K19" s="4" t="s">
        <v>318</v>
      </c>
      <c r="L19" s="4" t="s">
        <v>319</v>
      </c>
      <c r="M19" s="4" t="s">
        <v>320</v>
      </c>
      <c r="N19" s="4" t="s">
        <v>321</v>
      </c>
      <c r="O19" s="6" t="n">
        <v>509</v>
      </c>
      <c r="P19" s="4" t="s">
        <v>322</v>
      </c>
      <c r="Q19" s="4" t="s">
        <v>323</v>
      </c>
      <c r="R19" s="7" t="n">
        <v>1</v>
      </c>
      <c r="S19" s="4" t="s">
        <v>324</v>
      </c>
      <c r="T19" s="4" t="n">
        <v>1</v>
      </c>
      <c r="U19" s="4" t="s">
        <v>325</v>
      </c>
      <c r="V19" s="4" t="s">
        <v>326</v>
      </c>
      <c r="W19" s="4" t="n">
        <v>5</v>
      </c>
      <c r="X19" s="4" t="n">
        <v>2</v>
      </c>
      <c r="Y19" s="4" t="s">
        <v>327</v>
      </c>
      <c r="Z19" s="4" t="s">
        <v>328</v>
      </c>
      <c r="AA19" s="4" t="n">
        <v>3</v>
      </c>
      <c r="AB19" s="4"/>
      <c r="AC19" s="8" t="s">
        <v>329</v>
      </c>
    </row>
    <row r="20" customFormat="false" ht="64.15" hidden="false" customHeight="false" outlineLevel="0" collapsed="false">
      <c r="A20" s="4" t="n">
        <v>16</v>
      </c>
      <c r="B20" s="4" t="s">
        <v>330</v>
      </c>
      <c r="C20" s="4" t="s">
        <v>32</v>
      </c>
      <c r="D20" s="4" t="s">
        <v>331</v>
      </c>
      <c r="E20" s="5" t="s">
        <v>34</v>
      </c>
      <c r="F20" s="5" t="s">
        <v>332</v>
      </c>
      <c r="G20" s="5" t="s">
        <v>333</v>
      </c>
      <c r="H20" s="4" t="s">
        <v>334</v>
      </c>
      <c r="I20" s="4" t="s">
        <v>335</v>
      </c>
      <c r="J20" s="4" t="s">
        <v>336</v>
      </c>
      <c r="K20" s="4" t="s">
        <v>337</v>
      </c>
      <c r="L20" s="4" t="s">
        <v>338</v>
      </c>
      <c r="M20" s="4" t="s">
        <v>339</v>
      </c>
      <c r="N20" s="4" t="s">
        <v>340</v>
      </c>
      <c r="O20" s="6" t="n">
        <v>2226</v>
      </c>
      <c r="P20" s="4" t="s">
        <v>164</v>
      </c>
      <c r="Q20" s="4" t="s">
        <v>341</v>
      </c>
      <c r="R20" s="7" t="n">
        <v>1</v>
      </c>
      <c r="S20" s="4" t="s">
        <v>342</v>
      </c>
      <c r="T20" s="4" t="n">
        <v>1</v>
      </c>
      <c r="U20" s="4" t="s">
        <v>343</v>
      </c>
      <c r="V20" s="4" t="s">
        <v>344</v>
      </c>
      <c r="W20" s="4" t="n">
        <v>6</v>
      </c>
      <c r="X20" s="4" t="n">
        <v>2</v>
      </c>
      <c r="Y20" s="4" t="s">
        <v>345</v>
      </c>
      <c r="Z20" s="4" t="s">
        <v>346</v>
      </c>
      <c r="AA20" s="4" t="n">
        <v>5</v>
      </c>
      <c r="AB20" s="4"/>
      <c r="AC20" s="8" t="s">
        <v>347</v>
      </c>
    </row>
    <row r="21" customFormat="false" ht="53.7" hidden="false" customHeight="false" outlineLevel="0" collapsed="false">
      <c r="A21" s="4" t="n">
        <v>17</v>
      </c>
      <c r="B21" s="4" t="s">
        <v>348</v>
      </c>
      <c r="C21" s="4" t="s">
        <v>32</v>
      </c>
      <c r="D21" s="4" t="s">
        <v>349</v>
      </c>
      <c r="E21" s="5" t="s">
        <v>34</v>
      </c>
      <c r="F21" s="5" t="s">
        <v>350</v>
      </c>
      <c r="G21" s="5" t="s">
        <v>351</v>
      </c>
      <c r="H21" s="4" t="s">
        <v>352</v>
      </c>
      <c r="I21" s="4" t="s">
        <v>353</v>
      </c>
      <c r="J21" s="4" t="s">
        <v>354</v>
      </c>
      <c r="K21" s="4" t="s">
        <v>355</v>
      </c>
      <c r="L21" s="4" t="s">
        <v>356</v>
      </c>
      <c r="M21" s="4" t="s">
        <v>357</v>
      </c>
      <c r="N21" s="4" t="s">
        <v>358</v>
      </c>
      <c r="O21" s="6" t="n">
        <v>96</v>
      </c>
      <c r="P21" s="4" t="s">
        <v>359</v>
      </c>
      <c r="Q21" s="4" t="s">
        <v>165</v>
      </c>
      <c r="R21" s="7" t="n">
        <v>0.7669</v>
      </c>
      <c r="S21" s="4" t="s">
        <v>360</v>
      </c>
      <c r="T21" s="4" t="n">
        <v>2</v>
      </c>
      <c r="U21" s="4" t="s">
        <v>361</v>
      </c>
      <c r="V21" s="4" t="s">
        <v>362</v>
      </c>
      <c r="W21" s="4" t="n">
        <v>5</v>
      </c>
      <c r="X21" s="4" t="n">
        <v>3</v>
      </c>
      <c r="Y21" s="4" t="s">
        <v>363</v>
      </c>
      <c r="Z21" s="4" t="s">
        <v>364</v>
      </c>
      <c r="AA21" s="4" t="n">
        <v>3</v>
      </c>
      <c r="AB21" s="4"/>
      <c r="AC21" s="8" t="s">
        <v>365</v>
      </c>
    </row>
    <row r="22" customFormat="false" ht="74.6" hidden="false" customHeight="false" outlineLevel="0" collapsed="false">
      <c r="A22" s="4" t="n">
        <v>18</v>
      </c>
      <c r="B22" s="4" t="s">
        <v>366</v>
      </c>
      <c r="C22" s="4" t="s">
        <v>32</v>
      </c>
      <c r="D22" s="4" t="s">
        <v>367</v>
      </c>
      <c r="E22" s="5" t="s">
        <v>34</v>
      </c>
      <c r="F22" s="5" t="s">
        <v>368</v>
      </c>
      <c r="G22" s="5" t="s">
        <v>369</v>
      </c>
      <c r="H22" s="4" t="s">
        <v>370</v>
      </c>
      <c r="I22" s="4" t="s">
        <v>371</v>
      </c>
      <c r="J22" s="4" t="s">
        <v>372</v>
      </c>
      <c r="K22" s="4" t="s">
        <v>373</v>
      </c>
      <c r="L22" s="4" t="s">
        <v>374</v>
      </c>
      <c r="M22" s="4" t="s">
        <v>375</v>
      </c>
      <c r="N22" s="4" t="s">
        <v>376</v>
      </c>
      <c r="O22" s="6" t="n">
        <v>1452</v>
      </c>
      <c r="P22" s="4" t="s">
        <v>283</v>
      </c>
      <c r="Q22" s="4" t="s">
        <v>377</v>
      </c>
      <c r="R22" s="7" t="n">
        <v>1</v>
      </c>
      <c r="S22" s="4" t="s">
        <v>378</v>
      </c>
      <c r="T22" s="4" t="n">
        <v>1</v>
      </c>
      <c r="U22" s="4" t="s">
        <v>379</v>
      </c>
      <c r="V22" s="4" t="s">
        <v>380</v>
      </c>
      <c r="W22" s="4" t="n">
        <v>6</v>
      </c>
      <c r="X22" s="4" t="n">
        <v>2</v>
      </c>
      <c r="Y22" s="4" t="s">
        <v>381</v>
      </c>
      <c r="Z22" s="4" t="s">
        <v>382</v>
      </c>
      <c r="AA22" s="4" t="n">
        <v>7</v>
      </c>
      <c r="AB22" s="4"/>
      <c r="AC22" s="8" t="s">
        <v>383</v>
      </c>
    </row>
    <row r="23" customFormat="false" ht="53.7" hidden="false" customHeight="false" outlineLevel="0" collapsed="false">
      <c r="A23" s="4" t="n">
        <v>19</v>
      </c>
      <c r="B23" s="4" t="s">
        <v>384</v>
      </c>
      <c r="C23" s="4" t="s">
        <v>32</v>
      </c>
      <c r="D23" s="4" t="s">
        <v>385</v>
      </c>
      <c r="E23" s="5" t="s">
        <v>386</v>
      </c>
      <c r="F23" s="5" t="s">
        <v>387</v>
      </c>
      <c r="G23" s="5" t="s">
        <v>388</v>
      </c>
      <c r="H23" s="4" t="s">
        <v>389</v>
      </c>
      <c r="I23" s="4" t="s">
        <v>390</v>
      </c>
      <c r="J23" s="4" t="s">
        <v>391</v>
      </c>
      <c r="K23" s="4" t="s">
        <v>392</v>
      </c>
      <c r="L23" s="4" t="s">
        <v>393</v>
      </c>
      <c r="M23" s="4" t="s">
        <v>394</v>
      </c>
      <c r="N23" s="4" t="s">
        <v>395</v>
      </c>
      <c r="O23" s="6" t="n">
        <v>536</v>
      </c>
      <c r="P23" s="4" t="s">
        <v>64</v>
      </c>
      <c r="Q23" s="4" t="s">
        <v>396</v>
      </c>
      <c r="R23" s="7" t="n">
        <v>1</v>
      </c>
      <c r="S23" s="4" t="s">
        <v>397</v>
      </c>
      <c r="T23" s="4" t="n">
        <v>1</v>
      </c>
      <c r="U23" s="4" t="s">
        <v>398</v>
      </c>
      <c r="V23" s="4" t="s">
        <v>399</v>
      </c>
      <c r="W23" s="4" t="n">
        <v>5</v>
      </c>
      <c r="X23" s="4" t="n">
        <v>2</v>
      </c>
      <c r="Y23" s="4" t="s">
        <v>400</v>
      </c>
      <c r="Z23" s="4" t="s">
        <v>401</v>
      </c>
      <c r="AA23" s="4" t="n">
        <v>5</v>
      </c>
      <c r="AB23" s="4" t="s">
        <v>402</v>
      </c>
      <c r="AC23" s="8" t="s">
        <v>403</v>
      </c>
    </row>
    <row r="24" customFormat="false" ht="15" hidden="false" customHeight="false" outlineLevel="0" collapsed="false">
      <c r="A24" s="9"/>
      <c r="B24" s="9" t="s">
        <v>404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 t="n">
        <f aca="false">SUM(O5:O23)</f>
        <v>21723</v>
      </c>
      <c r="P24" s="9"/>
      <c r="Q24" s="9"/>
      <c r="R24" s="9"/>
      <c r="S24" s="9"/>
      <c r="T24" s="9"/>
      <c r="U24" s="9"/>
      <c r="V24" s="9"/>
      <c r="W24" s="9" t="n">
        <f aca="false">ROUND(AVERAGE(W5:W23),1)</f>
        <v>6</v>
      </c>
      <c r="X24" s="9" t="n">
        <f aca="false">SUM(X5:X23)</f>
        <v>47</v>
      </c>
      <c r="Y24" s="9"/>
      <c r="Z24" s="9"/>
      <c r="AA24" s="9" t="n">
        <f aca="false">ROUND(AVERAGE(AA5:AA23),1)</f>
        <v>4.3</v>
      </c>
      <c r="AB24" s="9"/>
      <c r="AC24" s="9"/>
    </row>
    <row r="25" customFormat="false" ht="15" hidden="false" customHeight="false" outlineLevel="0" collapsed="false">
      <c r="A25" s="9"/>
      <c r="B25" s="9" t="s">
        <v>405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 t="n">
        <f aca="false">COUNTA(B5:B23)</f>
        <v>19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</sheetData>
  <autoFilter ref="A4:AC23"/>
  <hyperlinks>
    <hyperlink ref="AC5" r:id="rId2" display="https://webappcenter.nbs.rs/WebApp/FinInstBank/LegalEntityFinInstitution/Details?id=19a39c28-43fc-47cc-8587-5428c4496ce1"/>
    <hyperlink ref="AC6" r:id="rId3" display="https://webappcenter.nbs.rs/WebApp/FinInstBank/LegalEntityFinInstitution/Details?id=dc7ae43e-0cb1-4aca-8b08-f83ed1e42281"/>
    <hyperlink ref="AC7" r:id="rId4" display="https://webappcenter.nbs.rs/WebApp/FinInstBank/LegalEntityFinInstitution/Details?id=c721ac7e-6856-4402-b8cc-2d5b3c46308e"/>
    <hyperlink ref="AC8" r:id="rId5" display="https://webappcenter.nbs.rs/WebApp/FinInstBank/LegalEntityFinInstitution/Details?id=b9a27097-5a27-4896-b467-77feba175546"/>
    <hyperlink ref="AC9" r:id="rId6" display="https://webappcenter.nbs.rs/WebApp/FinInstBank/LegalEntityFinInstitution/Details?id=53483fc9-5e6e-432f-9be3-5db842e66651"/>
    <hyperlink ref="AC10" r:id="rId7" display="https://webappcenter.nbs.rs/WebApp/FinInstBank/LegalEntityFinInstitution/Details?id=621521dc-3644-4151-9b87-92378344c7f9"/>
    <hyperlink ref="AC11" r:id="rId8" display="https://webappcenter.nbs.rs/WebApp/FinInstBank/LegalEntityFinInstitution/Details?id=8adf8672-fcd3-4574-8706-a03b156533dd"/>
    <hyperlink ref="AC12" r:id="rId9" display="https://webappcenter.nbs.rs/WebApp/FinInstBank/LegalEntityFinInstitution/Details?id=52d3ada0-489a-4aa6-9466-995db55c49ae"/>
    <hyperlink ref="AC13" r:id="rId10" display="https://webappcenter.nbs.rs/WebApp/FinInstBank/LegalEntityFinInstitution/Details?id=f05d3d66-8b5b-42f7-b06f-90e693ac7f0b"/>
    <hyperlink ref="AC14" r:id="rId11" display="https://webappcenter.nbs.rs/WebApp/FinInstBank/LegalEntityFinInstitution/Details?id=5928d700-5f17-4c16-8460-5cefdfd779e9"/>
    <hyperlink ref="AC15" r:id="rId12" display="https://webappcenter.nbs.rs/WebApp/FinInstBank/LegalEntityFinInstitution/Details?id=db0743dc-3932-497a-b89a-e80ef13786cf"/>
    <hyperlink ref="AC16" r:id="rId13" display="https://webappcenter.nbs.rs/WebApp/FinInstBank/LegalEntityFinInstitution/Details?id=dff9fa37-3035-47bc-b071-fc1b396c154f"/>
    <hyperlink ref="AC17" r:id="rId14" display="https://webappcenter.nbs.rs/WebApp/FinInstBank/LegalEntityFinInstitution/Details?id=4a463abf-56c3-4258-9975-e312fdc8f194"/>
    <hyperlink ref="AC18" r:id="rId15" display="https://webappcenter.nbs.rs/WebApp/FinInstBank/LegalEntityFinInstitution/Details?id=8060e9ba-4727-4ff6-b677-76cc9f208e58"/>
    <hyperlink ref="AC19" r:id="rId16" display="https://webappcenter.nbs.rs/WebApp/FinInstBank/LegalEntityFinInstitution/Details?id=d03c4598-de42-4ccf-b56e-e11cc7d566fc"/>
    <hyperlink ref="AC20" r:id="rId17" display="https://webappcenter.nbs.rs/WebApp/FinInstBank/LegalEntityFinInstitution/Details?id=07f72ee5-483b-4261-9648-26a1c1ad2f22"/>
    <hyperlink ref="AC21" r:id="rId18" display="https://webappcenter.nbs.rs/WebApp/FinInstBank/LegalEntityFinInstitution/Details?id=e5e5b49b-e107-429e-81b9-ed56925fa8ee"/>
    <hyperlink ref="AC22" r:id="rId19" display="https://webappcenter.nbs.rs/WebApp/FinInstBank/LegalEntityFinInstitution/Details?id=ecfd151c-1d11-49d7-acd3-fb4071f6eba3"/>
    <hyperlink ref="AC23" r:id="rId20" display="https://webappcenter.nbs.rs/WebApp/FinInstBank/LegalEntityFinInstitution/Details?id=0fa4a5e5-dcd8-4aa6-a293-abc73c57b49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"/>
  <legacy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2026-10-29T08:35:16Z</dcterms:created>
  <dc:creator>openpyxl</dc:creator>
  <dc:description/>
  <dc:language>en-US</dc:language>
  <cp:lastModifiedBy/>
  <dcterms:modified xsi:type="dcterms:W3CDTF">2026-10-29T08:35:16Z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