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rganizacija i sistematizacija\Ocenjivanje\"/>
    </mc:Choice>
  </mc:AlternateContent>
  <xr:revisionPtr revIDLastSave="0" documentId="8_{20536840-CE4C-4D71-9579-E069DDDDF96D}" xr6:coauthVersionLast="47" xr6:coauthVersionMax="47" xr10:uidLastSave="{00000000-0000-0000-0000-000000000000}"/>
  <bookViews>
    <workbookView xWindow="-120" yWindow="-120" windowWidth="29040" windowHeight="15840" xr2:uid="{35E65C3E-7672-45D1-8057-9D1BF34E130A}"/>
  </bookViews>
  <sheets>
    <sheet name="obrazac" sheetId="12" r:id="rId1"/>
    <sheet name="tabela licni koeficijent" sheetId="11" r:id="rId2"/>
    <sheet name="Max_vrednosti" sheetId="13" r:id="rId3"/>
    <sheet name="kriterijumi" sheetId="5" r:id="rId4"/>
    <sheet name="Table3" sheetId="14" state="hidden" r:id="rId5"/>
    <sheet name="januar 24 - proracuni" sheetId="8" state="hidden" r:id="rId6"/>
  </sheets>
  <definedNames>
    <definedName name="ExternalData_1" localSheetId="2" hidden="1">Max_vrednosti!$A$1:$D$61</definedName>
    <definedName name="ExternalData_1" localSheetId="4" hidden="1">Table3!$A$1:$D$31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2" i="8" l="1"/>
  <c r="P34" i="8"/>
  <c r="AA24" i="8"/>
  <c r="AA22" i="8"/>
  <c r="AA20" i="8"/>
  <c r="W22" i="8"/>
  <c r="W23" i="8"/>
  <c r="W24" i="8"/>
  <c r="W25" i="8"/>
  <c r="X25" i="8" s="1"/>
  <c r="W26" i="8"/>
  <c r="W20" i="8"/>
  <c r="O32" i="8"/>
  <c r="O33" i="8"/>
  <c r="O34" i="8"/>
  <c r="O35" i="8"/>
  <c r="O36" i="8"/>
  <c r="Q26" i="8"/>
  <c r="R26" i="8"/>
  <c r="S26" i="8"/>
  <c r="P26" i="8"/>
  <c r="O21" i="8"/>
  <c r="O22" i="8"/>
  <c r="Q32" i="8" s="1"/>
  <c r="O23" i="8"/>
  <c r="X23" i="8" s="1"/>
  <c r="O24" i="8"/>
  <c r="Q34" i="8" s="1"/>
  <c r="O25" i="8"/>
  <c r="Y25" i="8" s="1"/>
  <c r="O20" i="8"/>
  <c r="Z20" i="8" s="1"/>
  <c r="K20" i="8"/>
  <c r="D26" i="8"/>
  <c r="K21" i="8" s="1"/>
  <c r="C26" i="8"/>
  <c r="X21" i="8" l="1"/>
  <c r="P36" i="8"/>
  <c r="AA26" i="8"/>
  <c r="Z24" i="8"/>
  <c r="Z22" i="8"/>
  <c r="S35" i="8"/>
  <c r="S33" i="8"/>
  <c r="S31" i="8"/>
  <c r="Z26" i="8"/>
  <c r="Y24" i="8"/>
  <c r="Y22" i="8"/>
  <c r="Q30" i="8"/>
  <c r="R35" i="8"/>
  <c r="R33" i="8"/>
  <c r="Y26" i="8"/>
  <c r="X24" i="8"/>
  <c r="X22" i="8"/>
  <c r="R30" i="8"/>
  <c r="Q35" i="8"/>
  <c r="Q33" i="8"/>
  <c r="M20" i="8"/>
  <c r="O30" i="8" s="1"/>
  <c r="P30" i="8" s="1"/>
  <c r="X26" i="8"/>
  <c r="AA23" i="8"/>
  <c r="AA21" i="8"/>
  <c r="S30" i="8"/>
  <c r="P35" i="8"/>
  <c r="P33" i="8"/>
  <c r="L21" i="8"/>
  <c r="W21" i="8" s="1"/>
  <c r="X20" i="8"/>
  <c r="AA25" i="8"/>
  <c r="Z23" i="8"/>
  <c r="Z21" i="8"/>
  <c r="S34" i="8"/>
  <c r="S32" i="8"/>
  <c r="M21" i="8"/>
  <c r="O31" i="8" s="1"/>
  <c r="P31" i="8" s="1"/>
  <c r="Y20" i="8"/>
  <c r="Z25" i="8"/>
  <c r="Y23" i="8"/>
  <c r="Y21" i="8"/>
  <c r="R34" i="8"/>
  <c r="R32" i="8"/>
  <c r="O26" i="8"/>
  <c r="S36" i="8" s="1"/>
  <c r="R31" i="8" l="1"/>
  <c r="Q36" i="8"/>
  <c r="Q31" i="8"/>
  <c r="R36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tc={AFA576A5-6808-452D-95EB-D828C1229B11}</author>
  </authors>
  <commentList>
    <comment ref="G17" authorId="0" shapeId="0" xr:uid="{AFA576A5-6808-452D-95EB-D828C1229B11}">
      <text>
        <t>[Threaded comment]
Your version of Excel allows you to read this threaded comment; however, any edits to it will get removed if the file is opened in a newer version of Excel. Learn more: https://go.microsoft.com/fwlink/?linkid=870924
Comment:
     Ovde moze da ostavi komentar i sef i direktor i generalni direktor i sef na cijoj je siri radio taj mesec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1FBE620-BD67-4659-9023-15F5B39339C2}" keepAlive="1" name="Query - Max_vrednosti" description="Connection to the 'Max_vrednosti' query in the workbook." type="5" refreshedVersion="8" background="1" saveData="1">
    <dbPr connection="Provider=Microsoft.Mashup.OleDb.1;Data Source=$Workbook$;Location=Max_vrednosti;Extended Properties=&quot;&quot;" command="SELECT * FROM [Max_vrednosti]"/>
  </connection>
  <connection id="2" xr16:uid="{B5B79D46-C58F-4D42-977E-156089279ED0}" keepAlive="1" name="Query - Table3" description="Connection to the 'Table3' query in the workbook." type="5" refreshedVersion="8" background="1" saveData="1">
    <dbPr connection="Provider=Microsoft.Mashup.OleDb.1;Data Source=$Workbook$;Location=Table3;Extended Properties=&quot;&quot;" command="SELECT * FROM [Table3]"/>
  </connection>
</connections>
</file>

<file path=xl/sharedStrings.xml><?xml version="1.0" encoding="utf-8"?>
<sst xmlns="http://schemas.openxmlformats.org/spreadsheetml/2006/main" count="292" uniqueCount="170">
  <si>
    <t>Преглед података о запосленом и мерила оцењивања као и оцена за утврђивање стимулације</t>
  </si>
  <si>
    <t xml:space="preserve">ОЦЕЊИВАЊЕ ЗАПОСЛЕНОГ У МЕСЕЦУ </t>
  </si>
  <si>
    <t>ГОД.</t>
  </si>
  <si>
    <t>Постигнути резултати за месец</t>
  </si>
  <si>
    <t> avgust</t>
  </si>
  <si>
    <t>.</t>
  </si>
  <si>
    <t>ИЗВЕШТАЈ О ОЦЕЊИВАЊУ</t>
  </si>
  <si>
    <t>Општи подаци</t>
  </si>
  <si>
    <t>Име и презиме запосленог:</t>
  </si>
  <si>
    <t>Радно место на коме запослени ради и звање:</t>
  </si>
  <si>
    <t>Школска спрема:</t>
  </si>
  <si>
    <t>Име и презиме оцењивача 1:</t>
  </si>
  <si>
    <t>Име и презиме оцењивача 2:</t>
  </si>
  <si>
    <t>Мерила за оцењивање</t>
  </si>
  <si>
    <t>Висина оцене-стимулације</t>
  </si>
  <si>
    <t>Коментари оцењивача</t>
  </si>
  <si>
    <t>Посао 1</t>
  </si>
  <si>
    <t>Посао 2</t>
  </si>
  <si>
    <t>Посао 3</t>
  </si>
  <si>
    <t>Посао 4</t>
  </si>
  <si>
    <t>Посао 5</t>
  </si>
  <si>
    <t>1.Квантитет посла</t>
  </si>
  <si>
    <t>2.Квалитет рада</t>
  </si>
  <si>
    <t>3.Правовременост у обављању послова</t>
  </si>
  <si>
    <t>4.Способност усвајања нових знања и вештина потребних за адекватније и успешније обављање посла</t>
  </si>
  <si>
    <t>5.Однос према послу</t>
  </si>
  <si>
    <t>6.Квалтитет сарадње и интерперсонални утицај</t>
  </si>
  <si>
    <t>Укупна стимулација (од 1 до 6)</t>
  </si>
  <si>
    <t>Предлог оцене</t>
  </si>
  <si>
    <t>Потпис оцењивача 1</t>
  </si>
  <si>
    <t>датум</t>
  </si>
  <si>
    <t>потпис</t>
  </si>
  <si>
    <t>Потпис оцењивача 2</t>
  </si>
  <si>
    <t>Оцена Генералног директора</t>
  </si>
  <si>
    <t>Квантитет посла</t>
  </si>
  <si>
    <t>Квалитет рада</t>
  </si>
  <si>
    <t xml:space="preserve">Правовременост у обављању послова </t>
  </si>
  <si>
    <t>Опис основе бодовања</t>
  </si>
  <si>
    <t>Бодови</t>
  </si>
  <si>
    <t>% стимулац</t>
  </si>
  <si>
    <r>
      <t>а) Количина обављеног посла запосленог је константно изнад просека;</t>
    </r>
    <r>
      <rPr>
        <b/>
        <sz val="10.5"/>
        <color theme="1"/>
        <rFont val="Arial"/>
        <family val="2"/>
      </rPr>
      <t xml:space="preserve"> све планиране </t>
    </r>
    <r>
      <rPr>
        <sz val="10.5"/>
        <color theme="1"/>
        <rFont val="Arial"/>
        <family val="2"/>
      </rPr>
      <t>послове и задатке који</t>
    </r>
    <r>
      <rPr>
        <b/>
        <sz val="10.5"/>
        <color theme="1"/>
        <rFont val="Arial"/>
        <family val="2"/>
      </rPr>
      <t xml:space="preserve"> су му</t>
    </r>
    <r>
      <rPr>
        <sz val="10.5"/>
        <color theme="1"/>
        <rFont val="Arial"/>
        <family val="2"/>
      </rPr>
      <t xml:space="preserve"> наложени</t>
    </r>
    <r>
      <rPr>
        <b/>
        <sz val="10.5"/>
        <color theme="1"/>
        <rFont val="Arial"/>
        <family val="2"/>
      </rPr>
      <t xml:space="preserve"> је</t>
    </r>
    <r>
      <rPr>
        <sz val="10.5"/>
        <color theme="1"/>
        <rFont val="Arial"/>
        <family val="2"/>
      </rPr>
      <t xml:space="preserve"> завршио; радни учинак запосленог је континуирано надпросечан, </t>
    </r>
    <r>
      <rPr>
        <sz val="11"/>
        <color theme="1"/>
        <rFont val="Arial"/>
        <family val="2"/>
      </rPr>
      <t>обављао je послове по налогу претпостављеног који нису у опису послова радног места и обављао посебне послове самоиницијативно којим није задужен.</t>
    </r>
  </si>
  <si>
    <t>дo 35</t>
  </si>
  <si>
    <t>а) Квалитет рада запосленог је константно висок и изнад стандарда предвиђених за ово радно место</t>
  </si>
  <si>
    <r>
      <t>а) Посао обавља правовремено, односно пре предвиђеног рока, уз пуно поштовање прописаних, наложених и/или договорених рокова и ограничења; показује изузетну способност планирања и извршавања послова према приоритетима и хитности; способан је да у кратком времену обави значајну количину посла, води рачуна о правовременој реализацији својих обавеза; изузетно је флексибилан</t>
    </r>
    <r>
      <rPr>
        <b/>
        <sz val="8.5"/>
        <color theme="1"/>
        <rFont val="Arial"/>
        <family val="2"/>
      </rPr>
      <t xml:space="preserve"> и</t>
    </r>
    <r>
      <rPr>
        <sz val="11"/>
        <color theme="1"/>
        <rFont val="Arial"/>
        <family val="2"/>
      </rPr>
      <t xml:space="preserve"> прилагодљив; у случају потребе посла спреман је да се додатно ангажује ван радног времена </t>
    </r>
  </si>
  <si>
    <t>дo 20</t>
  </si>
  <si>
    <r>
      <t>б) Количина обављеног посла запосленог</t>
    </r>
    <r>
      <rPr>
        <b/>
        <sz val="10.5"/>
        <color theme="1"/>
        <rFont val="Arial"/>
        <family val="2"/>
      </rPr>
      <t xml:space="preserve"> је</t>
    </r>
    <r>
      <rPr>
        <sz val="10.5"/>
        <color theme="1"/>
        <rFont val="Arial"/>
        <family val="2"/>
      </rPr>
      <t xml:space="preserve"> изнад просека;</t>
    </r>
    <r>
      <rPr>
        <b/>
        <sz val="10.5"/>
        <color theme="1"/>
        <rFont val="Arial"/>
        <family val="2"/>
      </rPr>
      <t xml:space="preserve"> све </t>
    </r>
    <r>
      <rPr>
        <sz val="10.5"/>
        <color theme="1"/>
        <rFont val="Arial"/>
        <family val="2"/>
      </rPr>
      <t>планиране послове и задатке који</t>
    </r>
    <r>
      <rPr>
        <b/>
        <sz val="10.5"/>
        <color theme="1"/>
        <rFont val="Arial"/>
        <family val="2"/>
      </rPr>
      <t xml:space="preserve"> су му</t>
    </r>
    <r>
      <rPr>
        <sz val="10.5"/>
        <color theme="1"/>
        <rFont val="Arial"/>
        <family val="2"/>
      </rPr>
      <t xml:space="preserve"> наложени</t>
    </r>
    <r>
      <rPr>
        <b/>
        <sz val="10.5"/>
        <color theme="1"/>
        <rFont val="Arial"/>
        <family val="2"/>
      </rPr>
      <t xml:space="preserve"> је</t>
    </r>
    <r>
      <rPr>
        <sz val="10.5"/>
        <color theme="1"/>
        <rFont val="Arial"/>
        <family val="2"/>
      </rPr>
      <t xml:space="preserve"> завршио; радни учинак запосленог је надпросечан</t>
    </r>
  </si>
  <si>
    <t>б) Квалитет рада запосленог је изнад постављених стандарда за ово радно место</t>
  </si>
  <si>
    <r>
      <t>б)</t>
    </r>
    <r>
      <rPr>
        <sz val="11"/>
        <color theme="1"/>
        <rFont val="Arial"/>
        <family val="2"/>
      </rPr>
      <t xml:space="preserve"> Посао обавља правовремено, уз поштовање прописаних и утврђених рокова</t>
    </r>
    <r>
      <rPr>
        <b/>
        <sz val="8.5"/>
        <color theme="1"/>
        <rFont val="Arial"/>
        <family val="2"/>
      </rPr>
      <t xml:space="preserve"> и </t>
    </r>
    <r>
      <rPr>
        <sz val="11"/>
        <color theme="1"/>
        <rFont val="Arial"/>
        <family val="2"/>
      </rPr>
      <t>ограничења; показује способност извршавања послова према приоритетима и хитности; води рачуна о правовременој реализацији својих обавеза; флексибилан је и прилагодљив; у случају потребе посла спреман је да се додатно ангажује ван радног времена</t>
    </r>
  </si>
  <si>
    <t>дo 15</t>
  </si>
  <si>
    <r>
      <t>ц) Количина обављеног посла запосленог је задовољавајућа и већину планираних послова и задатака који</t>
    </r>
    <r>
      <rPr>
        <b/>
        <sz val="10.5"/>
        <color theme="1"/>
        <rFont val="Arial"/>
        <family val="2"/>
      </rPr>
      <t xml:space="preserve"> су му</t>
    </r>
    <r>
      <rPr>
        <sz val="10.5"/>
        <color theme="1"/>
        <rFont val="Arial"/>
        <family val="2"/>
      </rPr>
      <t xml:space="preserve"> наложени је завршио радни учинак више од задовољавајућег – надпросечан </t>
    </r>
  </si>
  <si>
    <t>до 10</t>
  </si>
  <si>
    <r>
      <t>ц)</t>
    </r>
    <r>
      <rPr>
        <sz val="11"/>
        <color theme="1"/>
        <rFont val="Arial"/>
        <family val="2"/>
      </rPr>
      <t xml:space="preserve"> Квалитет рада запосленог је задовољавајући и мало виши у односу на оквир стандарда предвиђених за ово радно место</t>
    </r>
  </si>
  <si>
    <t>дo 10</t>
  </si>
  <si>
    <t>ц) Посао обавља у потребном-планираном времену без одступања од прописаних и утврђених рокова; води рачуна о правовременој реализацији својих обавеза</t>
  </si>
  <si>
    <t xml:space="preserve">д) Количина обављеног посла запосленог је задовољавајућа а планиране послове и задатке који су му наложени је завршио; радни учинак је задовољавајући и на нивоу просека </t>
  </si>
  <si>
    <t>д) Квалитет рада запосленог је задовољавајући и на нивоу предвиђених стандарда за ово радно место</t>
  </si>
  <si>
    <t>д) Посао обавља у задовољавајућем времену без одступања од прописаних и утврђених рокова; води рачуна о минимуму правовремене реализације својих обавеза</t>
  </si>
  <si>
    <r>
      <t>е)</t>
    </r>
    <r>
      <rPr>
        <sz val="12"/>
        <color theme="1"/>
        <rFont val="Arial"/>
        <family val="2"/>
      </rPr>
      <t xml:space="preserve"> Количина обављеног посла није завршена у скпаду са потребама и/или планом процеса рада и/или датим роком.</t>
    </r>
  </si>
  <si>
    <t>-1 до -3</t>
  </si>
  <si>
    <t xml:space="preserve">од-10 до </t>
  </si>
  <si>
    <r>
      <t xml:space="preserve">е) </t>
    </r>
    <r>
      <rPr>
        <sz val="12"/>
        <color rgb="FF0D131A"/>
        <rFont val="Arial"/>
        <family val="2"/>
      </rPr>
      <t xml:space="preserve">Квалитет рада запосленог је </t>
    </r>
    <r>
      <rPr>
        <sz val="11"/>
        <color theme="1"/>
        <rFont val="Arial"/>
        <family val="2"/>
      </rPr>
      <t>незадовољавајући и испод предвиђених стандарда за ово радно место</t>
    </r>
    <r>
      <rPr>
        <sz val="12"/>
        <color rgb="FF0D131A"/>
        <rFont val="Arial"/>
        <family val="2"/>
      </rPr>
      <t xml:space="preserve"> </t>
    </r>
  </si>
  <si>
    <r>
      <t xml:space="preserve">-1 </t>
    </r>
    <r>
      <rPr>
        <sz val="8"/>
        <color theme="1"/>
        <rFont val="Arial"/>
        <family val="2"/>
      </rPr>
      <t>до</t>
    </r>
    <r>
      <rPr>
        <sz val="11"/>
        <color theme="1"/>
        <rFont val="Arial"/>
        <family val="2"/>
      </rPr>
      <t xml:space="preserve"> -3 </t>
    </r>
  </si>
  <si>
    <r>
      <t>од</t>
    </r>
    <r>
      <rPr>
        <sz val="10"/>
        <color theme="1"/>
        <rFont val="Arial"/>
        <family val="2"/>
      </rPr>
      <t>-10</t>
    </r>
    <r>
      <rPr>
        <sz val="11"/>
        <color theme="1"/>
        <rFont val="Arial"/>
        <family val="2"/>
      </rPr>
      <t xml:space="preserve"> </t>
    </r>
    <r>
      <rPr>
        <sz val="8"/>
        <color theme="1"/>
        <rFont val="Arial"/>
        <family val="2"/>
      </rPr>
      <t>до</t>
    </r>
    <r>
      <rPr>
        <sz val="11"/>
        <color theme="1"/>
        <rFont val="Arial"/>
        <family val="2"/>
      </rPr>
      <t xml:space="preserve"> </t>
    </r>
  </si>
  <si>
    <t>е) Посао обавља у незадовољавајућем времену уз игнорисање или занемаривање прописаних и утврђених рокова и ограничења; запосленог је потребно упозоравати на обавезу правовремене реализације његових обавеза</t>
  </si>
  <si>
    <r>
      <t xml:space="preserve">-1 </t>
    </r>
    <r>
      <rPr>
        <sz val="8"/>
        <color theme="1"/>
        <rFont val="Arial"/>
        <family val="2"/>
      </rPr>
      <t>до</t>
    </r>
    <r>
      <rPr>
        <sz val="11"/>
        <color theme="1"/>
        <rFont val="Arial"/>
        <family val="2"/>
      </rPr>
      <t xml:space="preserve"> -3</t>
    </r>
  </si>
  <si>
    <t xml:space="preserve">Способост усвајања нових знања </t>
  </si>
  <si>
    <t xml:space="preserve">Однос према послу </t>
  </si>
  <si>
    <t>Квалитет сарадње и интерперсонални утицај</t>
  </si>
  <si>
    <t>% стимулац.</t>
  </si>
  <si>
    <t>а) Изузетно брзо усваја нова знања и вештине и прилагођава се новим условима рада. Показује способност преношења усвојеног знања другим запосленим;</t>
  </si>
  <si>
    <t>а) изузетно поштује радно време не изостаје с посла; константно се придржава прописа о коришћењу радног времена; показује изузетан учинак у коришћењу радног времена; послу приступа са посебном одговорношћу; преузима иницијативу и показује вештину анализе и самосталног решавања проблема; максимално истрајава на извршавању задатака, показује изузетну марљивост и упорност у раду, показује спремност за учење од надређених и преношење знања другим запосленима; показује мотивисаност у раду и отвореност за промене; изузетно је посвећен послу; спреман је да се додатно ангажује и остаје на послу и након завршетка радног времена; показује принципијелну лојалност Институту ИМС.</t>
  </si>
  <si>
    <t>а) Запослени показује изузетну спремност и отвореност у прихватању и давању конструктивних критика и сугестија; показује изузетно поштовање према надређеним и води рачуна о хијерархији у односима на послу; у односу према другим запосленим показује изузетно поштовање општих стандарда пристојности и љубазности; спреман је признати грешку и прихватити одговорност; показује вештину активног слушања и учешћа у конструктивној дискусији; у комуникацији је јасан, одређен и конструктиван</t>
  </si>
  <si>
    <t>до 15</t>
  </si>
  <si>
    <t>б) Брзо учи и схвата инструкције и усваја их у свом даљем раду.</t>
  </si>
  <si>
    <t>б) Поштује радно време и не изостаје с посла; придржава се прописа о коришћењу радног времена, послу приступа са великим степеном одговорности; по потреби је спреман преузети иницијативу и самостално решавати проблеме; истрајава на извршавању задатака; показује мотивисаност и посвећеност послу, као принципијелну лојалност Институту ИМС.</t>
  </si>
  <si>
    <r>
      <t>б) Запосиени показује спремност и отвореност у прихватању и давању конструктивних критика и сугестија; показује поштовање према надређеним; у односу према другим запослениим поштује опште стандарде пристојности и љубазности; спреман</t>
    </r>
    <r>
      <rPr>
        <b/>
        <sz val="10.5"/>
        <color theme="1"/>
        <rFont val="Arial"/>
        <family val="2"/>
      </rPr>
      <t xml:space="preserve"> је</t>
    </r>
    <r>
      <rPr>
        <sz val="11"/>
        <color theme="1"/>
        <rFont val="Arial"/>
        <family val="2"/>
      </rPr>
      <t xml:space="preserve"> признати грешку и прихватити одговорност; показује вештину активног слушања и постављања адекватних питања; у комуникацији</t>
    </r>
    <r>
      <rPr>
        <b/>
        <sz val="10.5"/>
        <color theme="1"/>
        <rFont val="Arial"/>
        <family val="2"/>
      </rPr>
      <t xml:space="preserve"> је</t>
    </r>
    <r>
      <rPr>
        <sz val="11"/>
        <color theme="1"/>
        <rFont val="Arial"/>
        <family val="2"/>
      </rPr>
      <t xml:space="preserve"> јасан. одређен и конструктиван</t>
    </r>
  </si>
  <si>
    <t>ц) За усвајање нових знања и вештина не захтева инструкције. Потребне су повремене консултације у циљу усвајања неких инструкција</t>
  </si>
  <si>
    <t>ц) Придржава се прописа о коришћењу радног времена са мањим изузецима; послу оприступа са задовољавајућим или минималним степеном одговорности; не преузима иницијативу и не показује вештину самосталног решавања проблема; није истрајан у извршавању задатака; показује мању мотивисаност и посвећеност послу, као и одређену лојалност Институту ИМС</t>
  </si>
  <si>
    <t>дo 5</t>
  </si>
  <si>
    <t>ц) Запослени је спреман и отворен у прихватању и давању констуктивних критика и сугестија на задовољавајућем нивоу; према надређеним показује висок степен поштовања; поштује опште стандарде пристојности и љубазности; некада није спреман признати грешку и прихватити одговорност; способан је да саслуша али а да постави адекватна питања; у комуникацији и одређен</t>
  </si>
  <si>
    <t>до 5</t>
  </si>
  <si>
    <t>д) Слабо усваја нова знања и тешко се прилагођава новим условима рада. Показује вољу и спремност усвајања знања и инструкција у свом раду.</t>
  </si>
  <si>
    <t>д) Поштује радно време а изостае с посла; на ивици је придржавања прописа о коришћењу радног времена; никад не преузима иницијативу и није вешт у самосталном решавању било каквих проблема; изврши задатак; не показује некупоказује посвећеност послу.</t>
  </si>
  <si>
    <t>ц) Запослени је спреман и отворен у прихватању и давању констуктивних критика и сугестија на задовољавајућем нивоу; према надређеним показује одређен степен поштовања; поштује опште стандарде пристојности и љубазности; није увек спреман признати грешку и прихватити одговорност; способан је да саслуша али не и да постави адекватна питања; у комуникацији је јасан али не и констуктиван</t>
  </si>
  <si>
    <t>е) Не усваја или изразито слабо усваја нова знања и тешко се прилагођава новим условима рада. Показује отпор према инструкцијама и неспремност њиховог усвајања у свом раду.</t>
  </si>
  <si>
    <r>
      <t xml:space="preserve">е) Не поштује радно време и често изостаје с посла; не придржава се прописа о коришћењу радног времена; послу не приступа са одговорношћу и немаран је у раду; никад не преузима иницијативу и није вешт у самосталном решавању било каквих проблема; брзо одустаје од извршавања задатака; показује немотивисаност и непосвећеност послу, као и нелојалност </t>
    </r>
    <r>
      <rPr>
        <sz val="11"/>
        <color theme="1"/>
        <rFont val="Arial"/>
        <family val="2"/>
      </rPr>
      <t>Институту ИМС</t>
    </r>
    <r>
      <rPr>
        <sz val="11"/>
        <color rgb="FF000000"/>
        <rFont val="Arial"/>
        <family val="2"/>
      </rPr>
      <t>.</t>
    </r>
  </si>
  <si>
    <t>е) Запослени није спреман и отворен за прихватање конструктивних критика и сугестија; константно показује спремност давања неоснованих и некоректних критика и недобронамерних сугестија другима; не показује поштовање према надређенима; не поштује или слабо поштује опште стандарде пристојности и љубазности; није спреман признати грешку и прихватити одговорност; своје грешке или пропусте пребацује на друге, због чега није добро прихваћен међу запосленима; није способан да саслуша и да постави адекватна питања; у комуникацији је често агресиван, бучан и склон неоснованој критици других запослених и надређених, организације и начина рада и сл.</t>
  </si>
  <si>
    <t>sifanik pozicija</t>
  </si>
  <si>
    <t>saglasnost kroz chack box</t>
  </si>
  <si>
    <t>sefa</t>
  </si>
  <si>
    <t>direktora centra</t>
  </si>
  <si>
    <t>ocena</t>
  </si>
  <si>
    <t>ponder</t>
  </si>
  <si>
    <t>za nivo menađmenta</t>
  </si>
  <si>
    <t>za nivo ostalih zaposlenih</t>
  </si>
  <si>
    <t>trenutno</t>
  </si>
  <si>
    <t>za zaposlene</t>
  </si>
  <si>
    <t>za menadzere</t>
  </si>
  <si>
    <r>
      <t xml:space="preserve">% </t>
    </r>
    <r>
      <rPr>
        <sz val="10"/>
        <color theme="1"/>
        <rFont val="Arial"/>
        <family val="2"/>
      </rPr>
      <t>стимулац.</t>
    </r>
    <r>
      <rPr>
        <sz val="11"/>
        <color theme="1"/>
        <rFont val="Arial"/>
        <family val="2"/>
      </rPr>
      <t xml:space="preserve"> Менаџмент</t>
    </r>
  </si>
  <si>
    <r>
      <t xml:space="preserve">% </t>
    </r>
    <r>
      <rPr>
        <sz val="10"/>
        <color theme="1"/>
        <rFont val="Arial"/>
        <family val="2"/>
      </rPr>
      <t>стимулац.</t>
    </r>
    <r>
      <rPr>
        <sz val="11"/>
        <color theme="1"/>
        <rFont val="Arial"/>
        <family val="2"/>
      </rPr>
      <t xml:space="preserve"> Запослени</t>
    </r>
  </si>
  <si>
    <t>4</t>
  </si>
  <si>
    <t>3</t>
  </si>
  <si>
    <t>2</t>
  </si>
  <si>
    <t>1</t>
  </si>
  <si>
    <t>0</t>
  </si>
  <si>
    <t>merilo</t>
  </si>
  <si>
    <t>Naziv tabele: Obračun ličnog koeficijenta za mesec + godina</t>
  </si>
  <si>
    <t>Podnaslov : Sifra + Naziv centra</t>
  </si>
  <si>
    <t>Sifra OJ + Naziv OJ</t>
  </si>
  <si>
    <t>Sifra radnika</t>
  </si>
  <si>
    <t>Ime i prezime radnika</t>
  </si>
  <si>
    <t>Lični koeficijent za mesec + godina</t>
  </si>
  <si>
    <t>Saglasnost neposrednog rukovodioca</t>
  </si>
  <si>
    <t xml:space="preserve">Saglasnost direktora centra </t>
  </si>
  <si>
    <t>Saglasnost generalnog direktora</t>
  </si>
  <si>
    <t>. </t>
  </si>
  <si>
    <t>Име и презиме запосленог: </t>
  </si>
  <si>
    <t xml:space="preserve">Име и презиме оцењивача 1: </t>
  </si>
  <si>
    <t>Коментари оцењивача </t>
  </si>
  <si>
    <t>Посао 1 </t>
  </si>
  <si>
    <t>1.Квантитет посла </t>
  </si>
  <si>
    <t>Укупна стимулација (од 1 до 6) </t>
  </si>
  <si>
    <t>Потпис оцењивача 2 </t>
  </si>
  <si>
    <r>
      <t> </t>
    </r>
    <r>
      <rPr>
        <sz val="10"/>
        <color theme="1"/>
        <rFont val="Aptos"/>
        <family val="2"/>
      </rPr>
      <t>Ovde se ponavalja, ostavicemo samo jedno ili da se automatski popunjava drugo na bazi unetih podataka u prvom redu. Ovi podaci mogu da se popunjavaju iz padajuceg menija.</t>
    </r>
  </si>
  <si>
    <r>
      <t> </t>
    </r>
    <r>
      <rPr>
        <sz val="10"/>
        <color theme="1"/>
        <rFont val="Aptos"/>
        <family val="2"/>
      </rPr>
      <t>Ovde se sabiraju dati koeficijenti, onda se na sabranu vrednost doda 1 i tako se formira k4, k4 koji se formira ide u posebnu tabelu i primenjuje pri obracunu zarade za dati mesec</t>
    </r>
  </si>
  <si>
    <r>
      <t> </t>
    </r>
    <r>
      <rPr>
        <sz val="10"/>
        <color theme="1"/>
        <rFont val="Aptos"/>
        <family val="2"/>
      </rPr>
      <t>Ovde ce se napraviti check box, kada se cekira je isto kao da se otpisao</t>
    </r>
  </si>
  <si>
    <r>
      <t> </t>
    </r>
    <r>
      <rPr>
        <sz val="10"/>
        <color theme="1"/>
        <rFont val="Aptos"/>
        <family val="2"/>
      </rPr>
      <t>Direktor i generalni direktor bi trebalo da imaju opciju da  cekiraju sve odjednom, tako cemo ispostovati proceduru , a olaksati posao.  To ne bi radio tako sto bi ulazio u svaku listu pojedinacno  nego bi se slozio nivou organizacione jedinice. Na nivou organizacine jedinice se pravi posle tabela za taj mesec po svakom zaposlenom u toj organizacionoj jedinici koja sadrzi kolone: Sifra radnika, Ime i prezime radnika, Licni koeficijent za medec + godina</t>
    </r>
  </si>
  <si>
    <t>Obrazac mora da ostane na cirilici, kao zvanicnom pisamu RS</t>
  </si>
  <si>
    <t>Ocenjivac 2 je direktor I ovo se popunjava automatski</t>
  </si>
  <si>
    <t xml:space="preserve">Ocenjivac 1 je neposredni rukovodilac, </t>
  </si>
  <si>
    <t>iz tabele radnik</t>
  </si>
  <si>
    <r>
      <t> </t>
    </r>
    <r>
      <rPr>
        <sz val="10"/>
        <color theme="1"/>
        <rFont val="Aptos"/>
        <family val="2"/>
      </rPr>
      <t xml:space="preserve">Ime I prezime se bira iz padajuceg menija, kada se odabere zaposleni, ostali podaci se popunjavaju sami. </t>
    </r>
    <r>
      <rPr>
        <sz val="8"/>
        <color theme="1"/>
        <rFont val="Aptos"/>
        <family val="2"/>
      </rPr>
      <t>Sve je vezano za sifru radnika</t>
    </r>
  </si>
  <si>
    <t>datum moze da bude defoltni 15. tekuceg meseca</t>
  </si>
  <si>
    <t>Iz popunjenog obrasca se generise Tabela licni koeficijent</t>
  </si>
  <si>
    <t>Maksimalne vrednosti koje mogu da se dodele zavise od platnog razreda I propisane su pravilnikom, po difoltu svi imaju vrednost 0, sa tim se slozi rukovodilac I I automatski imamo popunjene liste. Ovde bi trebalo da stoji napomena koja je maksimalna vrednost za datog zaposlenog koja moze da se dodeli</t>
  </si>
  <si>
    <t>U komentarima ocenjivaca  komentar ce moci da da i neposredni rukovodilac i direktor centra i generalni direktor kao i rukovodilac sifre posla na cijoj je sifri radio taj mesec</t>
  </si>
  <si>
    <t>menadzment</t>
  </si>
  <si>
    <t>bodovi</t>
  </si>
  <si>
    <t>max_vrednost</t>
  </si>
  <si>
    <t xml:space="preserve">Ovde je potrebno napraviti mogucnost da  genaralni i direktor centra mogu da se saglase odjednom na sve dodeljene koeficijente, kada se saglasi prebacuju se vrednosti iz licnog koeficijenta u ovu kolonu. </t>
  </si>
  <si>
    <t>Ovde moze direktor da koriguje koeficijent i taj korigovani ide u obracun zarade</t>
  </si>
  <si>
    <t>Svako ce se ucitavati i radne verzije jer su neophodne za proveru krajnjeg iznosa zarada.</t>
  </si>
  <si>
    <t>Finalna ide na knjizenje.</t>
  </si>
  <si>
    <r>
      <t xml:space="preserve">% </t>
    </r>
    <r>
      <rPr>
        <sz val="10"/>
        <color theme="1"/>
        <rFont val="Arial"/>
        <family val="2"/>
      </rPr>
      <t>стимулац.</t>
    </r>
    <r>
      <rPr>
        <sz val="11"/>
        <color theme="1"/>
        <rFont val="Arial"/>
        <family val="2"/>
      </rPr>
      <t xml:space="preserve"> </t>
    </r>
  </si>
  <si>
    <t>дo 7</t>
  </si>
  <si>
    <t>до 2</t>
  </si>
  <si>
    <t>дo 5,5</t>
  </si>
  <si>
    <t>дo 12,5</t>
  </si>
  <si>
    <t>до 3,5</t>
  </si>
  <si>
    <t xml:space="preserve">од-3,5 до </t>
  </si>
  <si>
    <t>-12,5</t>
  </si>
  <si>
    <t>-7,5</t>
  </si>
  <si>
    <t xml:space="preserve">од -2 до </t>
  </si>
  <si>
    <t>дo 7,5</t>
  </si>
  <si>
    <t>дo 4,5</t>
  </si>
  <si>
    <t>дo 3,5</t>
  </si>
  <si>
    <r>
      <t xml:space="preserve">од </t>
    </r>
    <r>
      <rPr>
        <sz val="10"/>
        <color theme="1"/>
        <rFont val="Arial"/>
        <family val="2"/>
      </rPr>
      <t>-2</t>
    </r>
    <r>
      <rPr>
        <sz val="11"/>
        <color theme="1"/>
        <rFont val="Arial"/>
        <family val="2"/>
      </rPr>
      <t xml:space="preserve"> </t>
    </r>
    <r>
      <rPr>
        <sz val="8"/>
        <color theme="1"/>
        <rFont val="Arial"/>
        <family val="2"/>
      </rPr>
      <t>до</t>
    </r>
    <r>
      <rPr>
        <sz val="11"/>
        <color theme="1"/>
        <rFont val="Arial"/>
        <family val="2"/>
      </rPr>
      <t xml:space="preserve"> </t>
    </r>
  </si>
  <si>
    <r>
      <t xml:space="preserve">од </t>
    </r>
    <r>
      <rPr>
        <sz val="10"/>
        <color theme="1"/>
        <rFont val="Arial"/>
        <family val="2"/>
      </rPr>
      <t>-3,5</t>
    </r>
    <r>
      <rPr>
        <sz val="11"/>
        <color theme="1"/>
        <rFont val="Arial"/>
        <family val="2"/>
      </rPr>
      <t xml:space="preserve"> </t>
    </r>
    <r>
      <rPr>
        <sz val="8"/>
        <color theme="1"/>
        <rFont val="Arial"/>
        <family val="2"/>
      </rPr>
      <t>до</t>
    </r>
    <r>
      <rPr>
        <sz val="11"/>
        <color theme="1"/>
        <rFont val="Arial"/>
        <family val="2"/>
      </rPr>
      <t xml:space="preserve"> </t>
    </r>
  </si>
  <si>
    <t>дo 2</t>
  </si>
  <si>
    <t>дo 3</t>
  </si>
  <si>
    <t>дo 4</t>
  </si>
  <si>
    <t>-5,5</t>
  </si>
  <si>
    <r>
      <t xml:space="preserve">од </t>
    </r>
    <r>
      <rPr>
        <sz val="10"/>
        <color theme="1"/>
        <rFont val="Arial"/>
        <family val="2"/>
      </rPr>
      <t>-1</t>
    </r>
    <r>
      <rPr>
        <sz val="11"/>
        <color theme="1"/>
        <rFont val="Arial"/>
        <family val="2"/>
      </rPr>
      <t xml:space="preserve"> </t>
    </r>
    <r>
      <rPr>
        <sz val="8"/>
        <color theme="1"/>
        <rFont val="Arial"/>
        <family val="2"/>
      </rPr>
      <t>до</t>
    </r>
    <r>
      <rPr>
        <sz val="11"/>
        <color theme="1"/>
        <rFont val="Arial"/>
        <family val="2"/>
      </rPr>
      <t xml:space="preserve"> </t>
    </r>
  </si>
  <si>
    <t>-3,5</t>
  </si>
  <si>
    <t>дo 1</t>
  </si>
  <si>
    <t xml:space="preserve"> </t>
  </si>
  <si>
    <t>na poziciji nula je definisana maksimalna vrednost u minusu, tj minimalna vrednost koja za destimuloaciju moze da se dodeli</t>
  </si>
  <si>
    <t>mozda je bolje resenje da se pravi range</t>
  </si>
  <si>
    <t>U polju posao ce se se pisati sifra organizacione jedinice koju zaposleni ima u kadrovskoj evidenciji, ovo je u slucaju da se ne predje na ocenjivanje po siframa posla, ako se predje ovde ce ici sifre posla koje je imao u radnoj listi I broj radnih sati u mesecu</t>
  </si>
  <si>
    <t>Nacelno je ideja da se ovde generisani koefijenti spremiti za ucitavanje u bazu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</si>
</sst>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7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1"/>
      <color rgb="FF000000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8"/>
      <color rgb="FF000000"/>
      <name val="Arial"/>
      <family val="2"/>
    </font>
    <font>
      <b/>
      <sz val="11"/>
      <color theme="1"/>
      <name val="Arial"/>
      <family val="2"/>
    </font>
    <font>
      <b/>
      <sz val="10.5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0.5"/>
      <color theme="1"/>
      <name val="Arial"/>
      <family val="2"/>
    </font>
    <font>
      <b/>
      <sz val="8.5"/>
      <color theme="1"/>
      <name val="Arial"/>
      <family val="2"/>
    </font>
    <font>
      <sz val="11"/>
      <color rgb="FF000000"/>
      <name val="Arial"/>
      <family val="2"/>
    </font>
    <font>
      <sz val="12"/>
      <color theme="1"/>
      <name val="Arial"/>
      <family val="2"/>
    </font>
    <font>
      <sz val="12"/>
      <color rgb="FF0D131A"/>
      <name val="Arial"/>
      <family val="2"/>
    </font>
    <font>
      <sz val="8"/>
      <color theme="1"/>
      <name val="Arial"/>
      <family val="2"/>
    </font>
    <font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sz val="11"/>
      <color theme="1"/>
      <name val="Aptos"/>
      <family val="2"/>
    </font>
    <font>
      <sz val="12"/>
      <color theme="1"/>
      <name val="Aptos"/>
      <family val="2"/>
    </font>
    <font>
      <sz val="11"/>
      <color rgb="FF000000"/>
      <name val="Calibri"/>
      <family val="2"/>
    </font>
    <font>
      <sz val="10"/>
      <color theme="1"/>
      <name val="Aptos"/>
      <family val="2"/>
    </font>
    <font>
      <sz val="8"/>
      <color theme="1"/>
      <name val="Aptos"/>
      <family val="2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EECE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9" fontId="18" fillId="0" borderId="0" applyFont="0" applyFill="0" applyBorder="0" applyAlignment="0" applyProtection="0"/>
  </cellStyleXfs>
  <cellXfs count="109">
    <xf numFmtId="0" fontId="0" fillId="0" borderId="0" xfId="0"/>
    <xf numFmtId="0" fontId="1" fillId="0" borderId="0" xfId="0" applyFont="1"/>
    <xf numFmtId="0" fontId="3" fillId="0" borderId="3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right" vertical="center"/>
    </xf>
    <xf numFmtId="0" fontId="4" fillId="2" borderId="3" xfId="0" applyFont="1" applyFill="1" applyBorder="1" applyAlignment="1">
      <alignment vertical="center"/>
    </xf>
    <xf numFmtId="0" fontId="5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5" fillId="0" borderId="0" xfId="0" applyFont="1" applyAlignment="1">
      <alignment horizontal="right" vertical="center"/>
    </xf>
    <xf numFmtId="0" fontId="4" fillId="0" borderId="7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8" xfId="0" applyFont="1" applyBorder="1" applyAlignment="1">
      <alignment vertical="center"/>
    </xf>
    <xf numFmtId="0" fontId="7" fillId="0" borderId="9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9" xfId="0" applyFont="1" applyBorder="1" applyAlignment="1">
      <alignment vertical="center" wrapText="1"/>
    </xf>
    <xf numFmtId="0" fontId="7" fillId="2" borderId="9" xfId="0" applyFont="1" applyFill="1" applyBorder="1" applyAlignment="1">
      <alignment vertical="center"/>
    </xf>
    <xf numFmtId="0" fontId="4" fillId="2" borderId="8" xfId="0" applyFont="1" applyFill="1" applyBorder="1" applyAlignment="1">
      <alignment horizontal="right" vertical="center"/>
    </xf>
    <xf numFmtId="0" fontId="4" fillId="2" borderId="7" xfId="0" applyFont="1" applyFill="1" applyBorder="1" applyAlignment="1">
      <alignment vertical="center"/>
    </xf>
    <xf numFmtId="0" fontId="4" fillId="2" borderId="8" xfId="0" applyFont="1" applyFill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3" borderId="0" xfId="0" applyFill="1"/>
    <xf numFmtId="0" fontId="8" fillId="0" borderId="0" xfId="0" applyFont="1"/>
    <xf numFmtId="0" fontId="8" fillId="0" borderId="0" xfId="0" applyFont="1" applyAlignment="1">
      <alignment horizontal="justify" vertical="center"/>
    </xf>
    <xf numFmtId="0" fontId="9" fillId="0" borderId="0" xfId="0" applyFont="1"/>
    <xf numFmtId="0" fontId="10" fillId="0" borderId="14" xfId="0" applyFont="1" applyBorder="1" applyAlignment="1">
      <alignment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5" xfId="0" applyFont="1" applyBorder="1" applyAlignment="1">
      <alignment vertical="center" wrapText="1"/>
    </xf>
    <xf numFmtId="0" fontId="10" fillId="0" borderId="16" xfId="0" applyFont="1" applyBorder="1" applyAlignment="1">
      <alignment vertical="center" wrapText="1"/>
    </xf>
    <xf numFmtId="0" fontId="11" fillId="0" borderId="16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justify" vertical="center" wrapText="1"/>
    </xf>
    <xf numFmtId="0" fontId="10" fillId="0" borderId="17" xfId="0" applyFont="1" applyBorder="1" applyAlignment="1">
      <alignment horizontal="justify" vertical="center" wrapText="1"/>
    </xf>
    <xf numFmtId="0" fontId="10" fillId="0" borderId="18" xfId="0" applyFont="1" applyBorder="1" applyAlignment="1">
      <alignment horizontal="center" vertical="center" wrapText="1"/>
    </xf>
    <xf numFmtId="0" fontId="14" fillId="0" borderId="17" xfId="0" applyFont="1" applyBorder="1" applyAlignment="1">
      <alignment horizontal="justify" vertical="center" wrapText="1"/>
    </xf>
    <xf numFmtId="0" fontId="13" fillId="0" borderId="17" xfId="0" applyFont="1" applyBorder="1" applyAlignment="1">
      <alignment horizontal="justify" vertical="center" wrapText="1"/>
    </xf>
    <xf numFmtId="0" fontId="17" fillId="0" borderId="20" xfId="0" applyFont="1" applyBorder="1" applyAlignment="1">
      <alignment vertical="center" wrapText="1"/>
    </xf>
    <xf numFmtId="0" fontId="11" fillId="0" borderId="18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0" fillId="4" borderId="0" xfId="0" applyFill="1"/>
    <xf numFmtId="9" fontId="4" fillId="0" borderId="8" xfId="0" applyNumberFormat="1" applyFont="1" applyBorder="1" applyAlignment="1">
      <alignment vertical="center"/>
    </xf>
    <xf numFmtId="9" fontId="4" fillId="2" borderId="8" xfId="0" applyNumberFormat="1" applyFont="1" applyFill="1" applyBorder="1" applyAlignment="1">
      <alignment horizontal="right" vertical="center"/>
    </xf>
    <xf numFmtId="9" fontId="0" fillId="0" borderId="0" xfId="0" applyNumberFormat="1"/>
    <xf numFmtId="9" fontId="0" fillId="0" borderId="0" xfId="1" applyFont="1"/>
    <xf numFmtId="164" fontId="0" fillId="0" borderId="0" xfId="0" applyNumberFormat="1"/>
    <xf numFmtId="164" fontId="0" fillId="0" borderId="0" xfId="1" applyNumberFormat="1" applyFont="1"/>
    <xf numFmtId="0" fontId="11" fillId="0" borderId="2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4" fillId="0" borderId="7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0" fillId="0" borderId="0" xfId="0" applyFont="1"/>
    <xf numFmtId="0" fontId="0" fillId="0" borderId="14" xfId="0" applyBorder="1"/>
    <xf numFmtId="0" fontId="0" fillId="0" borderId="14" xfId="0" applyBorder="1" applyAlignment="1">
      <alignment wrapText="1"/>
    </xf>
    <xf numFmtId="0" fontId="21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22" fillId="0" borderId="0" xfId="0" applyFont="1"/>
    <xf numFmtId="0" fontId="23" fillId="2" borderId="2" xfId="0" applyFont="1" applyFill="1" applyBorder="1" applyAlignment="1">
      <alignment vertical="center"/>
    </xf>
    <xf numFmtId="0" fontId="23" fillId="2" borderId="2" xfId="0" applyFont="1" applyFill="1" applyBorder="1" applyAlignment="1">
      <alignment horizontal="right" vertical="center"/>
    </xf>
    <xf numFmtId="0" fontId="23" fillId="2" borderId="3" xfId="0" applyFont="1" applyFill="1" applyBorder="1" applyAlignment="1">
      <alignment vertical="center"/>
    </xf>
    <xf numFmtId="0" fontId="23" fillId="0" borderId="5" xfId="0" applyFont="1" applyBorder="1" applyAlignment="1">
      <alignment vertical="center"/>
    </xf>
    <xf numFmtId="0" fontId="23" fillId="0" borderId="6" xfId="0" applyFont="1" applyBorder="1" applyAlignment="1">
      <alignment vertical="center"/>
    </xf>
    <xf numFmtId="0" fontId="23" fillId="0" borderId="7" xfId="0" applyFont="1" applyBorder="1" applyAlignment="1">
      <alignment vertical="center"/>
    </xf>
    <xf numFmtId="0" fontId="23" fillId="0" borderId="0" xfId="0" applyFont="1" applyAlignment="1">
      <alignment vertical="center"/>
    </xf>
    <xf numFmtId="0" fontId="23" fillId="0" borderId="8" xfId="0" applyFont="1" applyBorder="1" applyAlignment="1">
      <alignment vertical="center"/>
    </xf>
    <xf numFmtId="0" fontId="23" fillId="0" borderId="2" xfId="0" applyFont="1" applyBorder="1" applyAlignment="1">
      <alignment vertical="center"/>
    </xf>
    <xf numFmtId="0" fontId="23" fillId="0" borderId="9" xfId="0" applyFont="1" applyBorder="1" applyAlignment="1">
      <alignment vertical="center"/>
    </xf>
    <xf numFmtId="0" fontId="23" fillId="2" borderId="8" xfId="0" applyFont="1" applyFill="1" applyBorder="1" applyAlignment="1">
      <alignment horizontal="right" vertical="center"/>
    </xf>
    <xf numFmtId="0" fontId="23" fillId="2" borderId="7" xfId="0" applyFont="1" applyFill="1" applyBorder="1" applyAlignment="1">
      <alignment vertical="center"/>
    </xf>
    <xf numFmtId="0" fontId="23" fillId="2" borderId="8" xfId="0" applyFont="1" applyFill="1" applyBorder="1" applyAlignment="1">
      <alignment vertical="center"/>
    </xf>
    <xf numFmtId="0" fontId="23" fillId="0" borderId="0" xfId="0" applyFont="1"/>
    <xf numFmtId="0" fontId="23" fillId="0" borderId="3" xfId="0" applyFont="1" applyBorder="1" applyAlignment="1">
      <alignment vertical="center"/>
    </xf>
    <xf numFmtId="0" fontId="25" fillId="0" borderId="0" xfId="0" applyFont="1" applyAlignment="1">
      <alignment vertical="center"/>
    </xf>
    <xf numFmtId="0" fontId="0" fillId="5" borderId="0" xfId="0" applyFill="1"/>
    <xf numFmtId="0" fontId="23" fillId="0" borderId="7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9" fillId="0" borderId="0" xfId="0" applyFont="1"/>
    <xf numFmtId="49" fontId="10" fillId="0" borderId="14" xfId="0" applyNumberFormat="1" applyFont="1" applyBorder="1" applyAlignment="1">
      <alignment horizontal="center" vertical="center" wrapText="1"/>
    </xf>
    <xf numFmtId="49" fontId="11" fillId="0" borderId="18" xfId="0" applyNumberFormat="1" applyFont="1" applyBorder="1" applyAlignment="1">
      <alignment horizontal="center" vertical="center" wrapText="1"/>
    </xf>
    <xf numFmtId="0" fontId="26" fillId="0" borderId="0" xfId="0" applyFont="1"/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10" fillId="0" borderId="19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justify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justify" vertical="center" wrapText="1"/>
    </xf>
    <xf numFmtId="0" fontId="10" fillId="0" borderId="17" xfId="0" applyFont="1" applyBorder="1" applyAlignment="1">
      <alignment horizontal="justify" vertical="center" wrapText="1"/>
    </xf>
    <xf numFmtId="0" fontId="14" fillId="0" borderId="19" xfId="0" applyFont="1" applyBorder="1" applyAlignment="1">
      <alignment horizontal="justify" vertical="center" wrapText="1"/>
    </xf>
    <xf numFmtId="0" fontId="14" fillId="0" borderId="17" xfId="0" applyFont="1" applyBorder="1" applyAlignment="1">
      <alignment horizontal="justify" vertical="center" wrapText="1"/>
    </xf>
    <xf numFmtId="0" fontId="4" fillId="0" borderId="5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7" xfId="0" applyFont="1" applyBorder="1" applyAlignment="1">
      <alignment vertical="center"/>
    </xf>
  </cellXfs>
  <cellStyles count="2">
    <cellStyle name="Normal" xfId="0" builtinId="0"/>
    <cellStyle name="Percent" xfId="1" builtinId="5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4" formatCode="0.0%"/>
    </dxf>
    <dxf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4" formatCode="0.0%"/>
    </dxf>
    <dxf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Olivera  Pavlovic" id="{C8E687E7-06FB-4476-8ED3-BC7942BC7D88}" userId="S::olivera.pavlovic@institutimsad.onmicrosoft.com::a44b52c8-b6b5-4ffc-a315-e590c1328354" providerId="AD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EF2EF76-6756-4B84-947C-24D128E80223}" autoFormatId="16" applyNumberFormats="0" applyBorderFormats="0" applyFontFormats="0" applyPatternFormats="0" applyAlignmentFormats="0" applyWidthHeightFormats="0">
  <queryTableRefresh nextId="6">
    <queryTableFields count="4">
      <queryTableField id="1" name="menadzment" tableColumnId="1"/>
      <queryTableField id="2" name="merilo" tableColumnId="2"/>
      <queryTableField id="3" name="bodovi" tableColumnId="3"/>
      <queryTableField id="5" name="max_vrednost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48A97DE-CB34-4A4F-B251-9AF4C612D63C}" autoFormatId="16" applyNumberFormats="0" applyBorderFormats="0" applyFontFormats="0" applyPatternFormats="0" applyAlignmentFormats="0" applyWidthHeightFormats="0">
  <queryTableRefresh nextId="5">
    <queryTableFields count="4">
      <queryTableField id="1" name="menadzment" tableColumnId="1"/>
      <queryTableField id="2" name="merilo" tableColumnId="2"/>
      <queryTableField id="3" name="bodovi" tableColumnId="3"/>
      <queryTableField id="4" name="max_vrednost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871A497-2BBA-409A-B69F-25FD0A3536F4}" name="Max_vrednosti" displayName="Max_vrednosti" ref="A1:D61" tableType="queryTable" totalsRowShown="0">
  <autoFilter ref="A1:D61" xr:uid="{4871A497-2BBA-409A-B69F-25FD0A3536F4}"/>
  <tableColumns count="4">
    <tableColumn id="1" xr3:uid="{24DA3EE2-1E5A-4909-87D5-8B2274365AAA}" uniqueName="1" name="menadzment" queryTableFieldId="1" dataDxfId="13"/>
    <tableColumn id="2" xr3:uid="{939A32B3-5C8C-43D9-B0CA-F2E7617D6695}" uniqueName="2" name="merilo" queryTableFieldId="2"/>
    <tableColumn id="3" xr3:uid="{B520871E-0483-48F8-B340-2A3D712850D2}" uniqueName="3" name="bodovi" queryTableFieldId="3" dataDxfId="12"/>
    <tableColumn id="5" xr3:uid="{3ED15B3D-C82B-414D-9144-97754798C00E}" uniqueName="5" name="max_vrednost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766CB62-9100-4DB1-97B9-9745970BD6C1}" name="Table3_1" displayName="Table3_1" ref="A1:D31" tableType="queryTable" totalsRowShown="0">
  <autoFilter ref="A1:D31" xr:uid="{2766CB62-9100-4DB1-97B9-9745970BD6C1}"/>
  <tableColumns count="4">
    <tableColumn id="1" xr3:uid="{53DB8FF2-1587-41A2-A5F9-7E272C0024CD}" uniqueName="1" name="menadzment" queryTableFieldId="1"/>
    <tableColumn id="2" xr3:uid="{BB2571C1-C248-489C-9222-5B10CD3F86FC}" uniqueName="2" name="merilo" queryTableFieldId="2"/>
    <tableColumn id="3" xr3:uid="{3E672163-9207-49E2-BD8C-50453B320087}" uniqueName="3" name="bodovi" queryTableFieldId="3"/>
    <tableColumn id="4" xr3:uid="{AF82FEAA-9D09-4E99-BBEE-CD93F57DB74E}" uniqueName="4" name="max_vrednost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3982228-5DE2-4CCB-B49C-44CAD658EE1A}" name="Table2" displayName="Table2" ref="N42:S48" totalsRowShown="0" dataDxfId="11" dataCellStyle="Percent">
  <autoFilter ref="N42:S48" xr:uid="{23982228-5DE2-4CCB-B49C-44CAD658EE1A}"/>
  <tableColumns count="6">
    <tableColumn id="1" xr3:uid="{A3A075C7-4EA3-42F2-89B0-7EDFB3EFB55D}" name="merilo"/>
    <tableColumn id="2" xr3:uid="{C85F1C6A-30E8-43CC-86AB-F9B702647080}" name="4" dataDxfId="10"/>
    <tableColumn id="3" xr3:uid="{8214CAD7-A018-45E0-A111-086C864F1F26}" name="3" dataDxfId="9" dataCellStyle="Percent"/>
    <tableColumn id="4" xr3:uid="{C6E2B066-EDC1-43DE-ADC8-BC3B3211D7E3}" name="2" dataDxfId="8" dataCellStyle="Percent"/>
    <tableColumn id="5" xr3:uid="{D7CD6E18-B9FD-4620-BC75-47B1D688FDFF}" name="1" dataDxfId="7" dataCellStyle="Percent"/>
    <tableColumn id="6" xr3:uid="{CE5B1828-A57B-4A63-99E1-3DD1EDFA9FA4}" name="0" dataDxfId="6" dataCellStyle="Perce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AF80049-7F26-4112-97CE-CCBF9CC9AAD7}" name="Table3" displayName="Table3" ref="U42:Z48" totalsRowShown="0" dataDxfId="5" dataCellStyle="Percent">
  <autoFilter ref="U42:Z48" xr:uid="{1AF80049-7F26-4112-97CE-CCBF9CC9AAD7}"/>
  <tableColumns count="6">
    <tableColumn id="1" xr3:uid="{7B1F20B7-9BA9-4C59-A504-719BB51591DB}" name="merilo"/>
    <tableColumn id="2" xr3:uid="{D6789CED-0AB4-4991-9B84-AABE3BC2BACB}" name="4" dataDxfId="4"/>
    <tableColumn id="3" xr3:uid="{7B2011FD-6F1A-477F-8E4E-0323838D078E}" name="3" dataDxfId="3" dataCellStyle="Percent"/>
    <tableColumn id="4" xr3:uid="{A2215C66-5406-4236-A732-3AD6D375BA61}" name="2" dataDxfId="2" dataCellStyle="Percent"/>
    <tableColumn id="5" xr3:uid="{FAF779F0-2453-47C6-97E6-9BAE0350EAC2}" name="1" dataDxfId="1" dataCellStyle="Percent"/>
    <tableColumn id="6" xr3:uid="{1A8C8132-1499-44BC-BBC4-C56F30FD87F0}" name="0" dataDxfId="0" dataCellStyle="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7" dT="2026-09-04T06:15:37.07" personId="{C8E687E7-06FB-4476-8ED3-BC7942BC7D88}" id="{AFA576A5-6808-452D-95EB-D828C1229B11}">
    <text> Ovde moze da ostavi komentar i sef i direktor i generalni direktor i sef na cijoj je siri radio taj mesec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996EE-0EB9-47FE-9410-F34F4472F07A}">
  <dimension ref="A1:K33"/>
  <sheetViews>
    <sheetView tabSelected="1" workbookViewId="0">
      <selection activeCell="B25" sqref="B25"/>
    </sheetView>
  </sheetViews>
  <sheetFormatPr defaultRowHeight="15" x14ac:dyDescent="0.25"/>
  <cols>
    <col min="1" max="1" width="37.5703125" customWidth="1"/>
    <col min="7" max="7" width="9.140625" customWidth="1"/>
    <col min="10" max="10" width="4.28515625" customWidth="1"/>
  </cols>
  <sheetData>
    <row r="1" spans="1:11" x14ac:dyDescent="0.25">
      <c r="A1" s="63"/>
    </row>
    <row r="2" spans="1:11" ht="15.75" thickBot="1" x14ac:dyDescent="0.3">
      <c r="A2" s="63"/>
    </row>
    <row r="3" spans="1:11" ht="15.75" thickBot="1" x14ac:dyDescent="0.3">
      <c r="A3" s="87" t="s">
        <v>0</v>
      </c>
      <c r="B3" s="88"/>
      <c r="C3" s="88"/>
      <c r="D3" s="88"/>
      <c r="E3" s="88"/>
      <c r="F3" s="88"/>
      <c r="G3" s="88"/>
      <c r="H3" s="2"/>
      <c r="K3" t="s">
        <v>127</v>
      </c>
    </row>
    <row r="4" spans="1:11" ht="16.5" thickBot="1" x14ac:dyDescent="0.3">
      <c r="A4" s="64"/>
      <c r="B4" s="64"/>
      <c r="C4" s="64"/>
      <c r="D4" s="64"/>
      <c r="E4" s="64"/>
      <c r="F4" s="64"/>
      <c r="G4" s="64"/>
      <c r="H4" s="64"/>
    </row>
    <row r="5" spans="1:11" ht="15.75" thickBot="1" x14ac:dyDescent="0.3">
      <c r="A5" s="3" t="s">
        <v>1</v>
      </c>
      <c r="B5" s="65"/>
      <c r="C5" s="65"/>
      <c r="D5" s="65"/>
      <c r="E5" s="66">
        <v>20</v>
      </c>
      <c r="F5" s="65"/>
      <c r="G5" s="65" t="s">
        <v>2</v>
      </c>
      <c r="H5" s="67"/>
      <c r="J5" s="81"/>
      <c r="K5" s="80" t="s">
        <v>123</v>
      </c>
    </row>
    <row r="6" spans="1:11" ht="15.75" x14ac:dyDescent="0.25">
      <c r="A6" s="7" t="s">
        <v>3</v>
      </c>
      <c r="B6" s="64"/>
      <c r="C6" s="64"/>
      <c r="D6" s="64"/>
      <c r="E6" s="64"/>
      <c r="F6" s="64"/>
      <c r="G6" s="64"/>
      <c r="H6" s="68"/>
      <c r="J6" s="81"/>
    </row>
    <row r="7" spans="1:11" ht="16.5" thickBot="1" x14ac:dyDescent="0.3">
      <c r="A7" s="69"/>
      <c r="B7" s="10">
        <v>20</v>
      </c>
      <c r="C7" s="70"/>
      <c r="D7" s="71" t="s">
        <v>115</v>
      </c>
      <c r="E7" s="64"/>
      <c r="F7" s="64"/>
      <c r="G7" s="64"/>
      <c r="H7" s="68"/>
      <c r="J7" s="81"/>
    </row>
    <row r="8" spans="1:11" ht="15.75" thickBot="1" x14ac:dyDescent="0.3">
      <c r="A8" s="69"/>
      <c r="B8" s="70"/>
      <c r="C8" s="70"/>
      <c r="D8" s="70"/>
      <c r="E8" s="70"/>
      <c r="F8" s="70"/>
      <c r="G8" s="70"/>
      <c r="H8" s="72"/>
    </row>
    <row r="9" spans="1:11" ht="15.75" thickBot="1" x14ac:dyDescent="0.3">
      <c r="A9" s="69"/>
      <c r="B9" s="89" t="s">
        <v>6</v>
      </c>
      <c r="C9" s="89"/>
      <c r="D9" s="89"/>
      <c r="E9" s="89"/>
      <c r="F9" s="70"/>
      <c r="G9" s="70"/>
      <c r="H9" s="72"/>
    </row>
    <row r="10" spans="1:11" ht="15.75" thickBot="1" x14ac:dyDescent="0.3">
      <c r="A10" s="14" t="s">
        <v>7</v>
      </c>
      <c r="B10" s="71"/>
      <c r="C10" s="71"/>
      <c r="D10" s="71"/>
      <c r="E10" s="71"/>
      <c r="F10" s="71"/>
      <c r="G10" s="71"/>
      <c r="H10" s="68"/>
    </row>
    <row r="11" spans="1:11" ht="15.75" thickBot="1" x14ac:dyDescent="0.3">
      <c r="A11" s="15" t="s">
        <v>116</v>
      </c>
      <c r="B11" s="70"/>
      <c r="C11" s="70"/>
      <c r="D11" s="70"/>
      <c r="E11" s="70"/>
      <c r="F11" s="70"/>
      <c r="G11" s="70"/>
      <c r="H11" s="72"/>
      <c r="J11" s="81"/>
      <c r="K11" s="80" t="s">
        <v>131</v>
      </c>
    </row>
    <row r="12" spans="1:11" ht="15.75" thickBot="1" x14ac:dyDescent="0.3">
      <c r="A12" s="15" t="s">
        <v>9</v>
      </c>
      <c r="B12" s="70"/>
      <c r="C12" s="70"/>
      <c r="D12" s="70"/>
      <c r="E12" s="70"/>
      <c r="F12" s="70"/>
      <c r="G12" s="70"/>
      <c r="H12" s="72"/>
      <c r="K12" t="s">
        <v>130</v>
      </c>
    </row>
    <row r="13" spans="1:11" ht="15.75" thickBot="1" x14ac:dyDescent="0.3">
      <c r="A13" s="15" t="s">
        <v>10</v>
      </c>
      <c r="B13" s="70"/>
      <c r="C13" s="70"/>
      <c r="D13" s="70"/>
      <c r="E13" s="70"/>
      <c r="F13" s="70"/>
      <c r="G13" s="70"/>
      <c r="H13" s="72"/>
      <c r="K13" t="s">
        <v>130</v>
      </c>
    </row>
    <row r="14" spans="1:11" ht="15.75" thickBot="1" x14ac:dyDescent="0.3">
      <c r="A14" s="15" t="s">
        <v>117</v>
      </c>
      <c r="B14" s="70"/>
      <c r="C14" s="70"/>
      <c r="D14" s="70"/>
      <c r="E14" s="70"/>
      <c r="F14" s="70"/>
      <c r="G14" s="70"/>
      <c r="H14" s="72"/>
      <c r="K14" t="s">
        <v>129</v>
      </c>
    </row>
    <row r="15" spans="1:11" ht="15.75" thickBot="1" x14ac:dyDescent="0.3">
      <c r="A15" s="15" t="s">
        <v>12</v>
      </c>
      <c r="B15" s="70"/>
      <c r="C15" s="70"/>
      <c r="D15" s="70"/>
      <c r="E15" s="70"/>
      <c r="F15" s="70"/>
      <c r="G15" s="70"/>
      <c r="H15" s="72"/>
      <c r="K15" t="s">
        <v>128</v>
      </c>
    </row>
    <row r="16" spans="1:11" ht="16.5" thickBot="1" x14ac:dyDescent="0.3">
      <c r="A16" s="64"/>
      <c r="B16" s="64"/>
      <c r="C16" s="64"/>
      <c r="D16" s="64"/>
      <c r="E16" s="64"/>
      <c r="F16" s="64"/>
      <c r="G16" s="64"/>
      <c r="H16" s="64"/>
    </row>
    <row r="17" spans="1:11" ht="15.75" thickBot="1" x14ac:dyDescent="0.3">
      <c r="A17" s="16" t="s">
        <v>13</v>
      </c>
      <c r="B17" s="73"/>
      <c r="C17" s="90" t="s">
        <v>14</v>
      </c>
      <c r="D17" s="90"/>
      <c r="E17" s="90"/>
      <c r="F17" s="73"/>
      <c r="G17" s="91" t="s">
        <v>118</v>
      </c>
      <c r="H17" s="92"/>
      <c r="K17" s="80"/>
    </row>
    <row r="18" spans="1:11" ht="15.75" thickBot="1" x14ac:dyDescent="0.3">
      <c r="A18" s="74"/>
      <c r="B18" s="19" t="s">
        <v>119</v>
      </c>
      <c r="C18" s="19" t="s">
        <v>17</v>
      </c>
      <c r="D18" s="19" t="s">
        <v>18</v>
      </c>
      <c r="E18" s="19" t="s">
        <v>19</v>
      </c>
      <c r="F18" s="20" t="s">
        <v>20</v>
      </c>
      <c r="G18" s="21"/>
      <c r="H18" s="19"/>
      <c r="J18" s="81"/>
      <c r="K18" t="s">
        <v>168</v>
      </c>
    </row>
    <row r="19" spans="1:11" ht="15.75" thickBot="1" x14ac:dyDescent="0.3">
      <c r="A19" s="15" t="s">
        <v>120</v>
      </c>
      <c r="B19" s="72"/>
      <c r="C19" s="72"/>
      <c r="D19" s="72"/>
      <c r="E19" s="72"/>
      <c r="F19" s="70"/>
      <c r="G19" s="69"/>
      <c r="H19" s="72"/>
      <c r="K19" t="s">
        <v>135</v>
      </c>
    </row>
    <row r="20" spans="1:11" ht="15.75" thickBot="1" x14ac:dyDescent="0.3">
      <c r="A20" s="15" t="s">
        <v>22</v>
      </c>
      <c r="B20" s="72"/>
      <c r="C20" s="72"/>
      <c r="D20" s="72"/>
      <c r="E20" s="72"/>
      <c r="F20" s="72"/>
      <c r="G20" s="70"/>
      <c r="H20" s="72"/>
      <c r="K20" t="s">
        <v>134</v>
      </c>
    </row>
    <row r="21" spans="1:11" ht="15.75" thickBot="1" x14ac:dyDescent="0.3">
      <c r="A21" s="15" t="s">
        <v>23</v>
      </c>
      <c r="B21" s="72"/>
      <c r="C21" s="72"/>
      <c r="D21" s="72"/>
      <c r="E21" s="72"/>
      <c r="F21" s="72"/>
      <c r="G21" s="70"/>
      <c r="H21" s="72"/>
      <c r="K21" s="80"/>
    </row>
    <row r="22" spans="1:11" ht="34.5" thickBot="1" x14ac:dyDescent="0.3">
      <c r="A22" s="22" t="s">
        <v>24</v>
      </c>
      <c r="B22" s="72"/>
      <c r="C22" s="72"/>
      <c r="D22" s="72"/>
      <c r="E22" s="72"/>
      <c r="F22" s="72"/>
      <c r="G22" s="70"/>
      <c r="H22" s="72"/>
    </row>
    <row r="23" spans="1:11" ht="15.75" thickBot="1" x14ac:dyDescent="0.3">
      <c r="A23" s="15" t="s">
        <v>25</v>
      </c>
      <c r="B23" s="72"/>
      <c r="C23" s="72"/>
      <c r="D23" s="72"/>
      <c r="E23" s="72"/>
      <c r="F23" s="72"/>
      <c r="G23" s="70"/>
      <c r="H23" s="72"/>
    </row>
    <row r="24" spans="1:11" ht="15.75" thickBot="1" x14ac:dyDescent="0.3">
      <c r="A24" s="15" t="s">
        <v>26</v>
      </c>
      <c r="B24" s="72"/>
      <c r="C24" s="72"/>
      <c r="D24" s="72"/>
      <c r="E24" s="72"/>
      <c r="F24" s="72"/>
      <c r="G24" s="70"/>
      <c r="H24" s="72"/>
    </row>
    <row r="25" spans="1:11" ht="15.75" thickBot="1" x14ac:dyDescent="0.3">
      <c r="A25" s="23" t="s">
        <v>121</v>
      </c>
      <c r="B25" s="75">
        <v>0</v>
      </c>
      <c r="C25" s="75">
        <v>0</v>
      </c>
      <c r="D25" s="75">
        <v>0</v>
      </c>
      <c r="E25" s="75">
        <v>0</v>
      </c>
      <c r="F25" s="75">
        <v>0</v>
      </c>
      <c r="G25" s="76"/>
      <c r="H25" s="77"/>
      <c r="K25" s="80" t="s">
        <v>124</v>
      </c>
    </row>
    <row r="26" spans="1:11" ht="16.5" thickBot="1" x14ac:dyDescent="0.3">
      <c r="A26" s="64"/>
      <c r="B26" s="64"/>
      <c r="C26" s="64"/>
      <c r="D26" s="64"/>
      <c r="E26" s="64"/>
      <c r="F26" s="64"/>
      <c r="G26" s="64"/>
      <c r="H26" s="78"/>
    </row>
    <row r="27" spans="1:11" ht="15.75" thickBot="1" x14ac:dyDescent="0.3">
      <c r="A27" s="27" t="s">
        <v>28</v>
      </c>
      <c r="B27" s="79"/>
      <c r="C27" s="79"/>
      <c r="D27" s="79"/>
      <c r="E27" s="79"/>
      <c r="F27" s="79"/>
      <c r="G27" s="73"/>
      <c r="H27" s="79"/>
    </row>
    <row r="28" spans="1:11" ht="15.75" thickBot="1" x14ac:dyDescent="0.3">
      <c r="A28" s="14" t="s">
        <v>29</v>
      </c>
      <c r="B28" s="19" t="s">
        <v>30</v>
      </c>
      <c r="C28" s="19"/>
      <c r="D28" s="19" t="s">
        <v>31</v>
      </c>
      <c r="E28" s="72"/>
      <c r="F28" s="72"/>
      <c r="G28" s="82" t="b">
        <v>0</v>
      </c>
      <c r="H28" s="72"/>
      <c r="K28" t="s">
        <v>132</v>
      </c>
    </row>
    <row r="29" spans="1:11" ht="15.75" thickBot="1" x14ac:dyDescent="0.3">
      <c r="A29" s="14" t="s">
        <v>122</v>
      </c>
      <c r="B29" s="19" t="s">
        <v>30</v>
      </c>
      <c r="C29" s="19"/>
      <c r="D29" s="19" t="s">
        <v>31</v>
      </c>
      <c r="E29" s="72"/>
      <c r="F29" s="72"/>
      <c r="G29" s="82" t="b">
        <v>0</v>
      </c>
      <c r="H29" s="72"/>
      <c r="K29" t="s">
        <v>125</v>
      </c>
    </row>
    <row r="30" spans="1:11" ht="15.75" thickBot="1" x14ac:dyDescent="0.3">
      <c r="A30" s="14" t="s">
        <v>33</v>
      </c>
      <c r="B30" s="19" t="s">
        <v>30</v>
      </c>
      <c r="C30" s="19"/>
      <c r="D30" s="19" t="s">
        <v>31</v>
      </c>
      <c r="E30" s="72"/>
      <c r="F30" s="72"/>
      <c r="G30" s="82" t="b">
        <v>0</v>
      </c>
      <c r="H30" s="72"/>
    </row>
    <row r="31" spans="1:11" ht="15.75" x14ac:dyDescent="0.25">
      <c r="A31" s="64"/>
      <c r="B31" s="64"/>
      <c r="C31" s="64"/>
      <c r="D31" s="64"/>
      <c r="E31" s="64"/>
      <c r="F31" s="64"/>
      <c r="G31" s="64"/>
      <c r="H31" s="64"/>
      <c r="K31" t="s">
        <v>133</v>
      </c>
    </row>
    <row r="32" spans="1:11" x14ac:dyDescent="0.25">
      <c r="A32" s="63"/>
      <c r="K32" s="80" t="s">
        <v>126</v>
      </c>
    </row>
    <row r="33" spans="1:1" x14ac:dyDescent="0.25">
      <c r="A33" s="62"/>
    </row>
  </sheetData>
  <mergeCells count="4">
    <mergeCell ref="A3:G3"/>
    <mergeCell ref="B9:E9"/>
    <mergeCell ref="C17:E17"/>
    <mergeCell ref="G17:H17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3C1EA-84F0-480C-B44A-5D63B08755E4}">
  <dimension ref="A1:H14"/>
  <sheetViews>
    <sheetView workbookViewId="0">
      <selection activeCell="A7" sqref="A7"/>
    </sheetView>
  </sheetViews>
  <sheetFormatPr defaultRowHeight="15" x14ac:dyDescent="0.25"/>
  <cols>
    <col min="1" max="1" width="15.140625" customWidth="1"/>
    <col min="2" max="2" width="20.42578125" bestFit="1" customWidth="1"/>
    <col min="3" max="3" width="32" bestFit="1" customWidth="1"/>
    <col min="4" max="6" width="15.140625" customWidth="1"/>
  </cols>
  <sheetData>
    <row r="1" spans="1:8" ht="15.75" x14ac:dyDescent="0.25">
      <c r="A1" s="59" t="s">
        <v>106</v>
      </c>
    </row>
    <row r="2" spans="1:8" x14ac:dyDescent="0.25">
      <c r="A2" t="s">
        <v>107</v>
      </c>
    </row>
    <row r="3" spans="1:8" x14ac:dyDescent="0.25">
      <c r="B3" t="s">
        <v>108</v>
      </c>
    </row>
    <row r="5" spans="1:8" ht="65.25" customHeight="1" x14ac:dyDescent="0.25">
      <c r="A5" s="60" t="s">
        <v>109</v>
      </c>
      <c r="B5" s="60" t="s">
        <v>110</v>
      </c>
      <c r="C5" s="60" t="s">
        <v>111</v>
      </c>
      <c r="D5" s="61" t="s">
        <v>112</v>
      </c>
      <c r="E5" s="61" t="s">
        <v>113</v>
      </c>
      <c r="F5" s="61" t="s">
        <v>114</v>
      </c>
      <c r="H5" s="59" t="s">
        <v>139</v>
      </c>
    </row>
    <row r="6" spans="1:8" x14ac:dyDescent="0.25">
      <c r="A6" s="60"/>
      <c r="B6" s="60"/>
      <c r="C6" s="60"/>
      <c r="D6" s="60"/>
      <c r="E6" s="60"/>
      <c r="F6" s="60"/>
      <c r="H6" t="s">
        <v>140</v>
      </c>
    </row>
    <row r="7" spans="1:8" x14ac:dyDescent="0.25">
      <c r="A7" s="60"/>
      <c r="B7" s="60"/>
      <c r="C7" s="60"/>
      <c r="D7" s="60"/>
      <c r="E7" s="60"/>
      <c r="F7" s="60"/>
    </row>
    <row r="8" spans="1:8" x14ac:dyDescent="0.25">
      <c r="A8" s="60"/>
      <c r="B8" s="60"/>
      <c r="C8" s="60"/>
      <c r="D8" s="60"/>
      <c r="E8" s="60"/>
      <c r="F8" s="60"/>
    </row>
    <row r="9" spans="1:8" x14ac:dyDescent="0.25">
      <c r="A9" s="60"/>
      <c r="B9" s="60"/>
      <c r="C9" s="60"/>
      <c r="D9" s="60"/>
      <c r="E9" s="60"/>
      <c r="F9" s="60"/>
    </row>
    <row r="10" spans="1:8" x14ac:dyDescent="0.25">
      <c r="A10" s="60"/>
      <c r="B10" s="60"/>
      <c r="C10" s="60"/>
      <c r="D10" s="60"/>
      <c r="E10" s="60"/>
      <c r="F10" s="60"/>
    </row>
    <row r="12" spans="1:8" x14ac:dyDescent="0.25">
      <c r="H12" s="83" t="s">
        <v>169</v>
      </c>
    </row>
    <row r="13" spans="1:8" x14ac:dyDescent="0.25">
      <c r="H13" t="s">
        <v>141</v>
      </c>
    </row>
    <row r="14" spans="1:8" x14ac:dyDescent="0.25">
      <c r="H14" t="s">
        <v>142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6408F-7B5D-4E26-A33A-68D379155318}">
  <dimension ref="A1:G61"/>
  <sheetViews>
    <sheetView workbookViewId="0">
      <selection activeCell="H11" sqref="H11"/>
    </sheetView>
  </sheetViews>
  <sheetFormatPr defaultRowHeight="15" x14ac:dyDescent="0.25"/>
  <cols>
    <col min="1" max="1" width="15" bestFit="1" customWidth="1"/>
    <col min="3" max="3" width="9.42578125" bestFit="1" customWidth="1"/>
    <col min="4" max="5" width="16" bestFit="1" customWidth="1"/>
  </cols>
  <sheetData>
    <row r="1" spans="1:7" x14ac:dyDescent="0.25">
      <c r="A1" t="s">
        <v>136</v>
      </c>
      <c r="B1" t="s">
        <v>105</v>
      </c>
      <c r="C1" t="s">
        <v>137</v>
      </c>
      <c r="D1" t="s">
        <v>138</v>
      </c>
      <c r="G1" s="86" t="s">
        <v>166</v>
      </c>
    </row>
    <row r="2" spans="1:7" x14ac:dyDescent="0.25">
      <c r="A2">
        <v>1</v>
      </c>
      <c r="B2">
        <v>1</v>
      </c>
      <c r="C2">
        <v>4</v>
      </c>
      <c r="D2">
        <v>0.125</v>
      </c>
      <c r="G2" s="86" t="s">
        <v>167</v>
      </c>
    </row>
    <row r="3" spans="1:7" x14ac:dyDescent="0.25">
      <c r="A3">
        <v>1</v>
      </c>
      <c r="B3">
        <v>1</v>
      </c>
      <c r="C3">
        <v>3</v>
      </c>
      <c r="D3">
        <v>7.0000000000000007E-2</v>
      </c>
    </row>
    <row r="4" spans="1:7" x14ac:dyDescent="0.25">
      <c r="A4">
        <v>1</v>
      </c>
      <c r="B4">
        <v>1</v>
      </c>
      <c r="C4">
        <v>2</v>
      </c>
      <c r="D4">
        <v>3.5000000000000003E-2</v>
      </c>
    </row>
    <row r="5" spans="1:7" x14ac:dyDescent="0.25">
      <c r="A5">
        <v>1</v>
      </c>
      <c r="B5">
        <v>1</v>
      </c>
      <c r="C5">
        <v>1</v>
      </c>
      <c r="D5">
        <v>0</v>
      </c>
    </row>
    <row r="6" spans="1:7" x14ac:dyDescent="0.25">
      <c r="A6">
        <v>1</v>
      </c>
      <c r="B6">
        <v>1</v>
      </c>
      <c r="C6">
        <v>0</v>
      </c>
      <c r="D6">
        <v>-3.5000000000000003E-2</v>
      </c>
    </row>
    <row r="7" spans="1:7" x14ac:dyDescent="0.25">
      <c r="A7">
        <v>1</v>
      </c>
      <c r="B7">
        <v>2</v>
      </c>
      <c r="C7">
        <v>4</v>
      </c>
      <c r="D7">
        <v>0.125</v>
      </c>
    </row>
    <row r="8" spans="1:7" x14ac:dyDescent="0.25">
      <c r="A8">
        <v>1</v>
      </c>
      <c r="B8">
        <v>2</v>
      </c>
      <c r="C8">
        <v>3</v>
      </c>
      <c r="D8">
        <v>7.0000000000000007E-2</v>
      </c>
    </row>
    <row r="9" spans="1:7" x14ac:dyDescent="0.25">
      <c r="A9">
        <v>1</v>
      </c>
      <c r="B9">
        <v>2</v>
      </c>
      <c r="C9">
        <v>2</v>
      </c>
      <c r="D9">
        <v>3.5000000000000003E-2</v>
      </c>
    </row>
    <row r="10" spans="1:7" x14ac:dyDescent="0.25">
      <c r="A10">
        <v>1</v>
      </c>
      <c r="B10">
        <v>2</v>
      </c>
      <c r="C10">
        <v>1</v>
      </c>
      <c r="D10">
        <v>0</v>
      </c>
    </row>
    <row r="11" spans="1:7" x14ac:dyDescent="0.25">
      <c r="A11">
        <v>1</v>
      </c>
      <c r="B11">
        <v>2</v>
      </c>
      <c r="C11">
        <v>0</v>
      </c>
      <c r="D11">
        <v>-3.5000000000000003E-2</v>
      </c>
    </row>
    <row r="12" spans="1:7" x14ac:dyDescent="0.25">
      <c r="A12">
        <v>1</v>
      </c>
      <c r="B12">
        <v>3</v>
      </c>
      <c r="C12">
        <v>4</v>
      </c>
      <c r="D12">
        <v>7.0000000000000007E-2</v>
      </c>
    </row>
    <row r="13" spans="1:7" x14ac:dyDescent="0.25">
      <c r="A13">
        <v>1</v>
      </c>
      <c r="B13">
        <v>3</v>
      </c>
      <c r="C13">
        <v>3</v>
      </c>
      <c r="D13">
        <v>5.5E-2</v>
      </c>
    </row>
    <row r="14" spans="1:7" x14ac:dyDescent="0.25">
      <c r="A14">
        <v>1</v>
      </c>
      <c r="B14">
        <v>3</v>
      </c>
      <c r="C14">
        <v>2</v>
      </c>
      <c r="D14">
        <v>3.5000000000000003E-2</v>
      </c>
    </row>
    <row r="15" spans="1:7" x14ac:dyDescent="0.25">
      <c r="A15">
        <v>1</v>
      </c>
      <c r="B15">
        <v>3</v>
      </c>
      <c r="C15">
        <v>1</v>
      </c>
      <c r="D15">
        <v>0</v>
      </c>
    </row>
    <row r="16" spans="1:7" x14ac:dyDescent="0.25">
      <c r="A16">
        <v>1</v>
      </c>
      <c r="B16">
        <v>3</v>
      </c>
      <c r="C16">
        <v>0</v>
      </c>
      <c r="D16">
        <v>-3.5000000000000003E-2</v>
      </c>
    </row>
    <row r="17" spans="1:4" x14ac:dyDescent="0.25">
      <c r="A17">
        <v>1</v>
      </c>
      <c r="B17">
        <v>4</v>
      </c>
      <c r="C17">
        <v>4</v>
      </c>
      <c r="D17">
        <v>7.0000000000000007E-2</v>
      </c>
    </row>
    <row r="18" spans="1:4" x14ac:dyDescent="0.25">
      <c r="A18">
        <v>1</v>
      </c>
      <c r="B18">
        <v>4</v>
      </c>
      <c r="C18">
        <v>3</v>
      </c>
      <c r="D18">
        <v>5.5E-2</v>
      </c>
    </row>
    <row r="19" spans="1:4" x14ac:dyDescent="0.25">
      <c r="A19">
        <v>1</v>
      </c>
      <c r="B19">
        <v>4</v>
      </c>
      <c r="C19">
        <v>2</v>
      </c>
      <c r="D19">
        <v>3.5000000000000003E-2</v>
      </c>
    </row>
    <row r="20" spans="1:4" x14ac:dyDescent="0.25">
      <c r="A20">
        <v>1</v>
      </c>
      <c r="B20">
        <v>4</v>
      </c>
      <c r="C20">
        <v>1</v>
      </c>
      <c r="D20">
        <v>0</v>
      </c>
    </row>
    <row r="21" spans="1:4" x14ac:dyDescent="0.25">
      <c r="A21">
        <v>1</v>
      </c>
      <c r="B21">
        <v>4</v>
      </c>
      <c r="C21">
        <v>0</v>
      </c>
      <c r="D21">
        <v>-3.5000000000000003E-2</v>
      </c>
    </row>
    <row r="22" spans="1:4" x14ac:dyDescent="0.25">
      <c r="A22">
        <v>1</v>
      </c>
      <c r="B22">
        <v>5</v>
      </c>
      <c r="C22">
        <v>4</v>
      </c>
      <c r="D22">
        <v>5.5E-2</v>
      </c>
    </row>
    <row r="23" spans="1:4" x14ac:dyDescent="0.25">
      <c r="A23">
        <v>1</v>
      </c>
      <c r="B23">
        <v>5</v>
      </c>
      <c r="C23">
        <v>3</v>
      </c>
      <c r="D23">
        <v>3.5000000000000003E-2</v>
      </c>
    </row>
    <row r="24" spans="1:4" x14ac:dyDescent="0.25">
      <c r="A24">
        <v>1</v>
      </c>
      <c r="B24">
        <v>5</v>
      </c>
      <c r="C24">
        <v>2</v>
      </c>
      <c r="D24">
        <v>0.02</v>
      </c>
    </row>
    <row r="25" spans="1:4" x14ac:dyDescent="0.25">
      <c r="A25">
        <v>1</v>
      </c>
      <c r="B25">
        <v>5</v>
      </c>
      <c r="C25">
        <v>1</v>
      </c>
      <c r="D25">
        <v>0</v>
      </c>
    </row>
    <row r="26" spans="1:4" x14ac:dyDescent="0.25">
      <c r="A26">
        <v>1</v>
      </c>
      <c r="B26">
        <v>5</v>
      </c>
      <c r="C26">
        <v>0</v>
      </c>
      <c r="D26">
        <v>-3.5000000000000003E-2</v>
      </c>
    </row>
    <row r="27" spans="1:4" x14ac:dyDescent="0.25">
      <c r="A27">
        <v>1</v>
      </c>
      <c r="B27">
        <v>6</v>
      </c>
      <c r="C27">
        <v>4</v>
      </c>
      <c r="D27">
        <v>5.5E-2</v>
      </c>
    </row>
    <row r="28" spans="1:4" x14ac:dyDescent="0.25">
      <c r="A28">
        <v>1</v>
      </c>
      <c r="B28">
        <v>6</v>
      </c>
      <c r="C28">
        <v>3</v>
      </c>
      <c r="D28">
        <v>3.5000000000000003E-2</v>
      </c>
    </row>
    <row r="29" spans="1:4" x14ac:dyDescent="0.25">
      <c r="A29">
        <v>1</v>
      </c>
      <c r="B29">
        <v>6</v>
      </c>
      <c r="C29">
        <v>2</v>
      </c>
      <c r="D29">
        <v>0.02</v>
      </c>
    </row>
    <row r="30" spans="1:4" x14ac:dyDescent="0.25">
      <c r="A30">
        <v>1</v>
      </c>
      <c r="B30">
        <v>6</v>
      </c>
      <c r="C30">
        <v>1</v>
      </c>
      <c r="D30">
        <v>0</v>
      </c>
    </row>
    <row r="31" spans="1:4" x14ac:dyDescent="0.25">
      <c r="A31">
        <v>1</v>
      </c>
      <c r="B31">
        <v>6</v>
      </c>
      <c r="C31">
        <v>0</v>
      </c>
      <c r="D31">
        <v>-3.5000000000000003E-2</v>
      </c>
    </row>
    <row r="32" spans="1:4" x14ac:dyDescent="0.25">
      <c r="A32">
        <v>0</v>
      </c>
      <c r="B32">
        <v>1</v>
      </c>
      <c r="C32">
        <v>4</v>
      </c>
      <c r="D32">
        <v>7.4999999999999997E-2</v>
      </c>
    </row>
    <row r="33" spans="1:4" x14ac:dyDescent="0.25">
      <c r="A33">
        <v>0</v>
      </c>
      <c r="B33">
        <v>1</v>
      </c>
      <c r="C33">
        <v>3</v>
      </c>
      <c r="D33">
        <v>4.4999999999999998E-2</v>
      </c>
    </row>
    <row r="34" spans="1:4" x14ac:dyDescent="0.25">
      <c r="A34">
        <v>0</v>
      </c>
      <c r="B34">
        <v>1</v>
      </c>
      <c r="C34">
        <v>2</v>
      </c>
      <c r="D34">
        <v>0.02</v>
      </c>
    </row>
    <row r="35" spans="1:4" x14ac:dyDescent="0.25">
      <c r="A35">
        <v>0</v>
      </c>
      <c r="B35">
        <v>1</v>
      </c>
      <c r="C35">
        <v>1</v>
      </c>
      <c r="D35">
        <v>0</v>
      </c>
    </row>
    <row r="36" spans="1:4" x14ac:dyDescent="0.25">
      <c r="A36">
        <v>0</v>
      </c>
      <c r="B36">
        <v>1</v>
      </c>
      <c r="C36">
        <v>0</v>
      </c>
      <c r="D36">
        <v>-0.02</v>
      </c>
    </row>
    <row r="37" spans="1:4" x14ac:dyDescent="0.25">
      <c r="A37">
        <v>0</v>
      </c>
      <c r="B37">
        <v>2</v>
      </c>
      <c r="C37">
        <v>4</v>
      </c>
      <c r="D37">
        <v>7.4999999999999997E-2</v>
      </c>
    </row>
    <row r="38" spans="1:4" x14ac:dyDescent="0.25">
      <c r="A38">
        <v>0</v>
      </c>
      <c r="B38">
        <v>2</v>
      </c>
      <c r="C38">
        <v>3</v>
      </c>
      <c r="D38">
        <v>4.4999999999999998E-2</v>
      </c>
    </row>
    <row r="39" spans="1:4" x14ac:dyDescent="0.25">
      <c r="A39">
        <v>0</v>
      </c>
      <c r="B39">
        <v>2</v>
      </c>
      <c r="C39">
        <v>2</v>
      </c>
      <c r="D39">
        <v>0.02</v>
      </c>
    </row>
    <row r="40" spans="1:4" x14ac:dyDescent="0.25">
      <c r="A40">
        <v>0</v>
      </c>
      <c r="B40">
        <v>2</v>
      </c>
      <c r="C40">
        <v>1</v>
      </c>
      <c r="D40">
        <v>0</v>
      </c>
    </row>
    <row r="41" spans="1:4" x14ac:dyDescent="0.25">
      <c r="A41">
        <v>0</v>
      </c>
      <c r="B41">
        <v>2</v>
      </c>
      <c r="C41">
        <v>0</v>
      </c>
      <c r="D41">
        <v>-0.02</v>
      </c>
    </row>
    <row r="42" spans="1:4" x14ac:dyDescent="0.25">
      <c r="A42">
        <v>0</v>
      </c>
      <c r="B42">
        <v>3</v>
      </c>
      <c r="C42">
        <v>4</v>
      </c>
      <c r="D42">
        <v>0.04</v>
      </c>
    </row>
    <row r="43" spans="1:4" x14ac:dyDescent="0.25">
      <c r="A43">
        <v>0</v>
      </c>
      <c r="B43">
        <v>3</v>
      </c>
      <c r="C43">
        <v>3</v>
      </c>
      <c r="D43">
        <v>0.03</v>
      </c>
    </row>
    <row r="44" spans="1:4" x14ac:dyDescent="0.25">
      <c r="A44">
        <v>0</v>
      </c>
      <c r="B44">
        <v>3</v>
      </c>
      <c r="C44">
        <v>2</v>
      </c>
      <c r="D44">
        <v>0.02</v>
      </c>
    </row>
    <row r="45" spans="1:4" x14ac:dyDescent="0.25">
      <c r="A45">
        <v>0</v>
      </c>
      <c r="B45">
        <v>3</v>
      </c>
      <c r="C45">
        <v>1</v>
      </c>
      <c r="D45">
        <v>0</v>
      </c>
    </row>
    <row r="46" spans="1:4" x14ac:dyDescent="0.25">
      <c r="A46">
        <v>0</v>
      </c>
      <c r="B46">
        <v>3</v>
      </c>
      <c r="C46">
        <v>0</v>
      </c>
      <c r="D46">
        <v>-0.02</v>
      </c>
    </row>
    <row r="47" spans="1:4" x14ac:dyDescent="0.25">
      <c r="A47">
        <v>0</v>
      </c>
      <c r="B47">
        <v>4</v>
      </c>
      <c r="C47">
        <v>4</v>
      </c>
      <c r="D47">
        <v>0.04</v>
      </c>
    </row>
    <row r="48" spans="1:4" x14ac:dyDescent="0.25">
      <c r="A48">
        <v>0</v>
      </c>
      <c r="B48">
        <v>4</v>
      </c>
      <c r="C48">
        <v>3</v>
      </c>
      <c r="D48">
        <v>0.03</v>
      </c>
    </row>
    <row r="49" spans="1:4" x14ac:dyDescent="0.25">
      <c r="A49">
        <v>0</v>
      </c>
      <c r="B49">
        <v>4</v>
      </c>
      <c r="C49">
        <v>2</v>
      </c>
      <c r="D49">
        <v>0.02</v>
      </c>
    </row>
    <row r="50" spans="1:4" x14ac:dyDescent="0.25">
      <c r="A50">
        <v>0</v>
      </c>
      <c r="B50">
        <v>4</v>
      </c>
      <c r="C50">
        <v>1</v>
      </c>
      <c r="D50">
        <v>0</v>
      </c>
    </row>
    <row r="51" spans="1:4" x14ac:dyDescent="0.25">
      <c r="A51">
        <v>0</v>
      </c>
      <c r="B51">
        <v>4</v>
      </c>
      <c r="C51">
        <v>0</v>
      </c>
      <c r="D51">
        <v>-0.02</v>
      </c>
    </row>
    <row r="52" spans="1:4" x14ac:dyDescent="0.25">
      <c r="A52">
        <v>0</v>
      </c>
      <c r="B52">
        <v>5</v>
      </c>
      <c r="C52">
        <v>4</v>
      </c>
      <c r="D52">
        <v>3.5000000000000003E-2</v>
      </c>
    </row>
    <row r="53" spans="1:4" x14ac:dyDescent="0.25">
      <c r="A53">
        <v>0</v>
      </c>
      <c r="B53">
        <v>5</v>
      </c>
      <c r="C53">
        <v>3</v>
      </c>
      <c r="D53">
        <v>0.02</v>
      </c>
    </row>
    <row r="54" spans="1:4" x14ac:dyDescent="0.25">
      <c r="A54">
        <v>0</v>
      </c>
      <c r="B54">
        <v>5</v>
      </c>
      <c r="C54">
        <v>2</v>
      </c>
      <c r="D54">
        <v>0.01</v>
      </c>
    </row>
    <row r="55" spans="1:4" x14ac:dyDescent="0.25">
      <c r="A55">
        <v>0</v>
      </c>
      <c r="B55">
        <v>5</v>
      </c>
      <c r="C55">
        <v>1</v>
      </c>
      <c r="D55">
        <v>0</v>
      </c>
    </row>
    <row r="56" spans="1:4" x14ac:dyDescent="0.25">
      <c r="A56">
        <v>0</v>
      </c>
      <c r="B56">
        <v>5</v>
      </c>
      <c r="C56">
        <v>0</v>
      </c>
      <c r="D56">
        <v>-0.02</v>
      </c>
    </row>
    <row r="57" spans="1:4" x14ac:dyDescent="0.25">
      <c r="A57">
        <v>0</v>
      </c>
      <c r="B57">
        <v>6</v>
      </c>
      <c r="C57">
        <v>4</v>
      </c>
      <c r="D57">
        <v>3.5000000000000003E-2</v>
      </c>
    </row>
    <row r="58" spans="1:4" x14ac:dyDescent="0.25">
      <c r="A58">
        <v>0</v>
      </c>
      <c r="B58">
        <v>6</v>
      </c>
      <c r="C58">
        <v>3</v>
      </c>
      <c r="D58">
        <v>0.02</v>
      </c>
    </row>
    <row r="59" spans="1:4" x14ac:dyDescent="0.25">
      <c r="A59">
        <v>0</v>
      </c>
      <c r="B59">
        <v>6</v>
      </c>
      <c r="C59">
        <v>2</v>
      </c>
      <c r="D59">
        <v>0.01</v>
      </c>
    </row>
    <row r="60" spans="1:4" x14ac:dyDescent="0.25">
      <c r="A60">
        <v>0</v>
      </c>
      <c r="B60">
        <v>6</v>
      </c>
      <c r="C60">
        <v>1</v>
      </c>
      <c r="D60">
        <v>0</v>
      </c>
    </row>
    <row r="61" spans="1:4" x14ac:dyDescent="0.25">
      <c r="A61">
        <v>0</v>
      </c>
      <c r="B61">
        <v>6</v>
      </c>
      <c r="C61">
        <v>0</v>
      </c>
      <c r="D61">
        <v>-0.02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076C3-F4FF-4BE8-9CAC-55B098985EF8}">
  <dimension ref="A2:Q20"/>
  <sheetViews>
    <sheetView topLeftCell="G1" zoomScale="115" zoomScaleNormal="115" workbookViewId="0">
      <selection activeCell="I23" sqref="I23"/>
    </sheetView>
  </sheetViews>
  <sheetFormatPr defaultRowHeight="15" x14ac:dyDescent="0.25"/>
  <cols>
    <col min="1" max="1" width="57.42578125" customWidth="1"/>
    <col min="7" max="7" width="64.85546875" customWidth="1"/>
    <col min="13" max="13" width="65" customWidth="1"/>
  </cols>
  <sheetData>
    <row r="2" spans="1:17" ht="15.75" thickBot="1" x14ac:dyDescent="0.3">
      <c r="A2" s="32" t="s">
        <v>34</v>
      </c>
      <c r="G2" s="33" t="s">
        <v>35</v>
      </c>
      <c r="M2" s="34" t="s">
        <v>36</v>
      </c>
    </row>
    <row r="3" spans="1:17" ht="70.5" thickBot="1" x14ac:dyDescent="0.3">
      <c r="A3" s="35" t="s">
        <v>37</v>
      </c>
      <c r="B3" s="35" t="s">
        <v>38</v>
      </c>
      <c r="C3" s="36" t="s">
        <v>143</v>
      </c>
      <c r="D3" s="57" t="s">
        <v>98</v>
      </c>
      <c r="E3" s="56" t="s">
        <v>99</v>
      </c>
      <c r="G3" s="37" t="s">
        <v>37</v>
      </c>
      <c r="H3" s="38" t="s">
        <v>38</v>
      </c>
      <c r="I3" s="39" t="s">
        <v>39</v>
      </c>
      <c r="J3" s="57" t="s">
        <v>98</v>
      </c>
      <c r="K3" s="56" t="s">
        <v>99</v>
      </c>
      <c r="M3" s="37" t="s">
        <v>37</v>
      </c>
      <c r="N3" s="38" t="s">
        <v>38</v>
      </c>
      <c r="O3" s="39" t="s">
        <v>39</v>
      </c>
      <c r="P3" s="57" t="s">
        <v>98</v>
      </c>
      <c r="Q3" s="56" t="s">
        <v>99</v>
      </c>
    </row>
    <row r="4" spans="1:17" ht="129" thickBot="1" x14ac:dyDescent="0.3">
      <c r="A4" s="40" t="s">
        <v>40</v>
      </c>
      <c r="B4" s="36">
        <v>4</v>
      </c>
      <c r="C4" s="36" t="s">
        <v>41</v>
      </c>
      <c r="D4" s="36" t="s">
        <v>147</v>
      </c>
      <c r="E4" s="36" t="s">
        <v>153</v>
      </c>
      <c r="G4" s="41" t="s">
        <v>42</v>
      </c>
      <c r="H4" s="42">
        <v>4</v>
      </c>
      <c r="I4" s="42" t="s">
        <v>41</v>
      </c>
      <c r="J4" s="36" t="s">
        <v>147</v>
      </c>
      <c r="K4" s="36" t="s">
        <v>153</v>
      </c>
      <c r="M4" s="41" t="s">
        <v>43</v>
      </c>
      <c r="N4" s="42">
        <v>4</v>
      </c>
      <c r="O4" s="42" t="s">
        <v>44</v>
      </c>
      <c r="P4" s="42" t="s">
        <v>144</v>
      </c>
      <c r="Q4" s="42" t="s">
        <v>160</v>
      </c>
    </row>
    <row r="5" spans="1:17" ht="86.25" thickBot="1" x14ac:dyDescent="0.3">
      <c r="A5" s="40" t="s">
        <v>45</v>
      </c>
      <c r="B5" s="36">
        <v>3</v>
      </c>
      <c r="C5" s="36" t="s">
        <v>44</v>
      </c>
      <c r="D5" s="36" t="s">
        <v>144</v>
      </c>
      <c r="E5" s="36" t="s">
        <v>154</v>
      </c>
      <c r="G5" s="43" t="s">
        <v>46</v>
      </c>
      <c r="H5" s="42">
        <v>3</v>
      </c>
      <c r="I5" s="42" t="s">
        <v>44</v>
      </c>
      <c r="J5" s="36" t="s">
        <v>144</v>
      </c>
      <c r="K5" s="36" t="s">
        <v>154</v>
      </c>
      <c r="M5" s="44" t="s">
        <v>47</v>
      </c>
      <c r="N5" s="42">
        <v>3</v>
      </c>
      <c r="O5" s="42" t="s">
        <v>48</v>
      </c>
      <c r="P5" s="42" t="s">
        <v>146</v>
      </c>
      <c r="Q5" s="42" t="s">
        <v>159</v>
      </c>
    </row>
    <row r="6" spans="1:17" ht="54.75" thickBot="1" x14ac:dyDescent="0.3">
      <c r="A6" s="40" t="s">
        <v>49</v>
      </c>
      <c r="B6" s="36">
        <v>2</v>
      </c>
      <c r="C6" s="36" t="s">
        <v>50</v>
      </c>
      <c r="D6" s="36" t="s">
        <v>148</v>
      </c>
      <c r="E6" s="36" t="s">
        <v>145</v>
      </c>
      <c r="G6" s="44" t="s">
        <v>51</v>
      </c>
      <c r="H6" s="42">
        <v>2</v>
      </c>
      <c r="I6" s="42" t="s">
        <v>52</v>
      </c>
      <c r="J6" s="36" t="s">
        <v>148</v>
      </c>
      <c r="K6" s="36" t="s">
        <v>145</v>
      </c>
      <c r="M6" s="41" t="s">
        <v>53</v>
      </c>
      <c r="N6" s="42">
        <v>2</v>
      </c>
      <c r="O6" s="42" t="s">
        <v>52</v>
      </c>
      <c r="P6" s="42" t="s">
        <v>155</v>
      </c>
      <c r="Q6" s="42" t="s">
        <v>158</v>
      </c>
    </row>
    <row r="7" spans="1:17" ht="54.75" thickBot="1" x14ac:dyDescent="0.3">
      <c r="A7" s="40" t="s">
        <v>54</v>
      </c>
      <c r="B7" s="36">
        <v>1</v>
      </c>
      <c r="C7" s="36">
        <v>0</v>
      </c>
      <c r="D7" s="36">
        <v>0</v>
      </c>
      <c r="E7" s="36">
        <v>0</v>
      </c>
      <c r="G7" s="41" t="s">
        <v>55</v>
      </c>
      <c r="H7" s="42">
        <v>1</v>
      </c>
      <c r="I7" s="42">
        <v>0</v>
      </c>
      <c r="J7" s="36">
        <v>0</v>
      </c>
      <c r="K7" s="36">
        <v>0</v>
      </c>
      <c r="M7" s="41" t="s">
        <v>56</v>
      </c>
      <c r="N7" s="42">
        <v>1</v>
      </c>
      <c r="O7" s="42">
        <v>0</v>
      </c>
      <c r="P7" s="42">
        <v>0</v>
      </c>
      <c r="Q7" s="42">
        <v>0</v>
      </c>
    </row>
    <row r="8" spans="1:17" ht="28.5" x14ac:dyDescent="0.25">
      <c r="A8" s="95" t="s">
        <v>57</v>
      </c>
      <c r="B8" s="96" t="s">
        <v>58</v>
      </c>
      <c r="C8" s="36" t="s">
        <v>59</v>
      </c>
      <c r="D8" s="36" t="s">
        <v>149</v>
      </c>
      <c r="E8" s="36" t="s">
        <v>152</v>
      </c>
      <c r="G8" s="97" t="s">
        <v>60</v>
      </c>
      <c r="H8" s="93" t="s">
        <v>61</v>
      </c>
      <c r="I8" s="45" t="s">
        <v>62</v>
      </c>
      <c r="J8" s="36" t="s">
        <v>149</v>
      </c>
      <c r="K8" s="36" t="s">
        <v>152</v>
      </c>
      <c r="M8" s="97" t="s">
        <v>63</v>
      </c>
      <c r="N8" s="93" t="s">
        <v>64</v>
      </c>
      <c r="O8" s="45" t="s">
        <v>62</v>
      </c>
      <c r="P8" s="45" t="s">
        <v>157</v>
      </c>
      <c r="Q8" s="45" t="s">
        <v>156</v>
      </c>
    </row>
    <row r="9" spans="1:17" ht="15.75" thickBot="1" x14ac:dyDescent="0.3">
      <c r="A9" s="95"/>
      <c r="B9" s="96"/>
      <c r="C9" s="36">
        <v>-30</v>
      </c>
      <c r="D9" s="84" t="s">
        <v>150</v>
      </c>
      <c r="E9" s="84" t="s">
        <v>151</v>
      </c>
      <c r="G9" s="98"/>
      <c r="H9" s="94"/>
      <c r="I9" s="46">
        <v>-30</v>
      </c>
      <c r="J9" s="84" t="s">
        <v>150</v>
      </c>
      <c r="K9" s="84" t="s">
        <v>151</v>
      </c>
      <c r="M9" s="98"/>
      <c r="N9" s="94"/>
      <c r="O9" s="46">
        <v>-30</v>
      </c>
      <c r="P9" s="46">
        <v>-7</v>
      </c>
      <c r="Q9" s="46">
        <v>-4</v>
      </c>
    </row>
    <row r="13" spans="1:17" ht="15.75" thickBot="1" x14ac:dyDescent="0.3">
      <c r="A13" s="32" t="s">
        <v>65</v>
      </c>
      <c r="G13" s="32" t="s">
        <v>66</v>
      </c>
      <c r="M13" s="32" t="s">
        <v>67</v>
      </c>
    </row>
    <row r="14" spans="1:17" ht="70.5" thickBot="1" x14ac:dyDescent="0.3">
      <c r="A14" s="37" t="s">
        <v>37</v>
      </c>
      <c r="B14" s="38" t="s">
        <v>38</v>
      </c>
      <c r="C14" s="55" t="s">
        <v>68</v>
      </c>
      <c r="D14" s="57" t="s">
        <v>98</v>
      </c>
      <c r="E14" s="56" t="s">
        <v>99</v>
      </c>
      <c r="G14" s="37" t="s">
        <v>37</v>
      </c>
      <c r="H14" s="38" t="s">
        <v>38</v>
      </c>
      <c r="I14" s="39" t="s">
        <v>39</v>
      </c>
      <c r="J14" s="57" t="s">
        <v>98</v>
      </c>
      <c r="K14" s="56" t="s">
        <v>99</v>
      </c>
      <c r="M14" s="37" t="s">
        <v>37</v>
      </c>
      <c r="N14" s="38" t="s">
        <v>38</v>
      </c>
      <c r="O14" s="47" t="s">
        <v>39</v>
      </c>
      <c r="P14" s="57" t="s">
        <v>98</v>
      </c>
      <c r="Q14" s="56" t="s">
        <v>99</v>
      </c>
    </row>
    <row r="15" spans="1:17" ht="186" thickBot="1" x14ac:dyDescent="0.3">
      <c r="A15" s="41" t="s">
        <v>69</v>
      </c>
      <c r="B15" s="42">
        <v>4</v>
      </c>
      <c r="C15" s="42" t="s">
        <v>44</v>
      </c>
      <c r="D15" s="42" t="s">
        <v>144</v>
      </c>
      <c r="E15" s="42" t="s">
        <v>160</v>
      </c>
      <c r="G15" s="41" t="s">
        <v>70</v>
      </c>
      <c r="H15" s="42">
        <v>4</v>
      </c>
      <c r="I15" s="42" t="s">
        <v>48</v>
      </c>
      <c r="J15" s="42" t="s">
        <v>146</v>
      </c>
      <c r="K15" s="42" t="s">
        <v>155</v>
      </c>
      <c r="M15" s="41" t="s">
        <v>71</v>
      </c>
      <c r="N15" s="42">
        <v>4</v>
      </c>
      <c r="O15" s="42" t="s">
        <v>72</v>
      </c>
      <c r="P15" s="42" t="s">
        <v>146</v>
      </c>
      <c r="Q15" s="42" t="s">
        <v>155</v>
      </c>
    </row>
    <row r="16" spans="1:17" ht="114.75" thickBot="1" x14ac:dyDescent="0.3">
      <c r="A16" s="41" t="s">
        <v>73</v>
      </c>
      <c r="B16" s="42">
        <v>3</v>
      </c>
      <c r="C16" s="42" t="s">
        <v>48</v>
      </c>
      <c r="D16" s="42" t="s">
        <v>146</v>
      </c>
      <c r="E16" s="42" t="s">
        <v>159</v>
      </c>
      <c r="G16" s="41" t="s">
        <v>74</v>
      </c>
      <c r="H16" s="42">
        <v>3</v>
      </c>
      <c r="I16" s="42" t="s">
        <v>52</v>
      </c>
      <c r="J16" s="42" t="s">
        <v>155</v>
      </c>
      <c r="K16" s="42" t="s">
        <v>158</v>
      </c>
      <c r="M16" s="41" t="s">
        <v>75</v>
      </c>
      <c r="N16" s="42">
        <v>3</v>
      </c>
      <c r="O16" s="42" t="s">
        <v>50</v>
      </c>
      <c r="P16" s="42" t="s">
        <v>155</v>
      </c>
      <c r="Q16" s="42" t="s">
        <v>158</v>
      </c>
    </row>
    <row r="17" spans="1:17" ht="100.5" thickBot="1" x14ac:dyDescent="0.3">
      <c r="A17" s="41" t="s">
        <v>76</v>
      </c>
      <c r="B17" s="42">
        <v>2</v>
      </c>
      <c r="C17" s="42" t="s">
        <v>52</v>
      </c>
      <c r="D17" s="42" t="s">
        <v>155</v>
      </c>
      <c r="E17" s="42" t="s">
        <v>158</v>
      </c>
      <c r="G17" s="41" t="s">
        <v>77</v>
      </c>
      <c r="H17" s="42">
        <v>2</v>
      </c>
      <c r="I17" s="42" t="s">
        <v>78</v>
      </c>
      <c r="J17" s="42" t="s">
        <v>158</v>
      </c>
      <c r="K17" s="42" t="s">
        <v>164</v>
      </c>
      <c r="M17" s="41" t="s">
        <v>79</v>
      </c>
      <c r="N17" s="42">
        <v>2</v>
      </c>
      <c r="O17" s="42" t="s">
        <v>80</v>
      </c>
      <c r="P17" s="42" t="s">
        <v>158</v>
      </c>
      <c r="Q17" s="42" t="s">
        <v>164</v>
      </c>
    </row>
    <row r="18" spans="1:17" ht="100.5" thickBot="1" x14ac:dyDescent="0.3">
      <c r="A18" s="41" t="s">
        <v>81</v>
      </c>
      <c r="B18" s="42">
        <v>1</v>
      </c>
      <c r="C18" s="42">
        <v>0</v>
      </c>
      <c r="D18" s="42">
        <v>0</v>
      </c>
      <c r="E18" s="42">
        <v>0</v>
      </c>
      <c r="G18" s="43" t="s">
        <v>82</v>
      </c>
      <c r="H18" s="42">
        <v>1</v>
      </c>
      <c r="I18" s="42">
        <v>0</v>
      </c>
      <c r="J18" s="42">
        <v>0</v>
      </c>
      <c r="K18" s="42">
        <v>0</v>
      </c>
      <c r="M18" s="41" t="s">
        <v>83</v>
      </c>
      <c r="N18" s="42">
        <v>1</v>
      </c>
      <c r="O18" s="42">
        <v>0</v>
      </c>
      <c r="P18" s="42">
        <v>0</v>
      </c>
      <c r="Q18" s="42">
        <v>0</v>
      </c>
    </row>
    <row r="19" spans="1:17" x14ac:dyDescent="0.25">
      <c r="A19" s="97" t="s">
        <v>84</v>
      </c>
      <c r="B19" s="93" t="s">
        <v>64</v>
      </c>
      <c r="C19" s="45" t="s">
        <v>62</v>
      </c>
      <c r="D19" s="45" t="s">
        <v>157</v>
      </c>
      <c r="E19" s="45" t="s">
        <v>156</v>
      </c>
      <c r="G19" s="99" t="s">
        <v>85</v>
      </c>
      <c r="H19" s="93" t="s">
        <v>64</v>
      </c>
      <c r="I19" s="45" t="s">
        <v>62</v>
      </c>
      <c r="J19" s="45" t="s">
        <v>156</v>
      </c>
      <c r="K19" s="45" t="s">
        <v>162</v>
      </c>
      <c r="M19" s="97" t="s">
        <v>86</v>
      </c>
      <c r="N19" s="93" t="s">
        <v>64</v>
      </c>
      <c r="O19" s="45" t="s">
        <v>62</v>
      </c>
      <c r="P19" s="45" t="s">
        <v>156</v>
      </c>
      <c r="Q19" s="45" t="s">
        <v>162</v>
      </c>
    </row>
    <row r="20" spans="1:17" ht="15.75" thickBot="1" x14ac:dyDescent="0.3">
      <c r="A20" s="98"/>
      <c r="B20" s="94"/>
      <c r="C20" s="46">
        <v>-30</v>
      </c>
      <c r="D20" s="46">
        <v>-7</v>
      </c>
      <c r="E20" s="46">
        <v>-4</v>
      </c>
      <c r="G20" s="100"/>
      <c r="H20" s="94"/>
      <c r="I20" s="46">
        <v>-30</v>
      </c>
      <c r="J20" s="85" t="s">
        <v>161</v>
      </c>
      <c r="K20" s="85" t="s">
        <v>163</v>
      </c>
      <c r="M20" s="98"/>
      <c r="N20" s="94"/>
      <c r="O20" s="46">
        <v>-30</v>
      </c>
      <c r="P20" s="85" t="s">
        <v>161</v>
      </c>
      <c r="Q20" s="85" t="s">
        <v>163</v>
      </c>
    </row>
  </sheetData>
  <mergeCells count="12">
    <mergeCell ref="N19:N20"/>
    <mergeCell ref="A8:A9"/>
    <mergeCell ref="B8:B9"/>
    <mergeCell ref="G8:G9"/>
    <mergeCell ref="H8:H9"/>
    <mergeCell ref="M8:M9"/>
    <mergeCell ref="N8:N9"/>
    <mergeCell ref="A19:A20"/>
    <mergeCell ref="B19:B20"/>
    <mergeCell ref="G19:G20"/>
    <mergeCell ref="H19:H20"/>
    <mergeCell ref="M19:M2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49F1F-EF91-4C0F-A4E2-2F52B2B482FE}">
  <dimension ref="A1:D31"/>
  <sheetViews>
    <sheetView workbookViewId="0">
      <selection activeCell="J19" sqref="J19"/>
    </sheetView>
  </sheetViews>
  <sheetFormatPr defaultRowHeight="15" x14ac:dyDescent="0.25"/>
  <cols>
    <col min="1" max="1" width="15" bestFit="1" customWidth="1"/>
    <col min="3" max="3" width="9.42578125" bestFit="1" customWidth="1"/>
    <col min="4" max="4" width="16" bestFit="1" customWidth="1"/>
  </cols>
  <sheetData>
    <row r="1" spans="1:4" x14ac:dyDescent="0.25">
      <c r="A1" t="s">
        <v>136</v>
      </c>
      <c r="B1" t="s">
        <v>105</v>
      </c>
      <c r="C1" t="s">
        <v>137</v>
      </c>
      <c r="D1" t="s">
        <v>138</v>
      </c>
    </row>
    <row r="2" spans="1:4" x14ac:dyDescent="0.25">
      <c r="A2">
        <v>0</v>
      </c>
      <c r="B2">
        <v>1</v>
      </c>
      <c r="C2">
        <v>4</v>
      </c>
      <c r="D2">
        <v>7.4999999999999997E-2</v>
      </c>
    </row>
    <row r="3" spans="1:4" x14ac:dyDescent="0.25">
      <c r="A3">
        <v>0</v>
      </c>
      <c r="B3">
        <v>1</v>
      </c>
      <c r="C3">
        <v>3</v>
      </c>
      <c r="D3">
        <v>4.4999999999999998E-2</v>
      </c>
    </row>
    <row r="4" spans="1:4" x14ac:dyDescent="0.25">
      <c r="A4">
        <v>0</v>
      </c>
      <c r="B4">
        <v>1</v>
      </c>
      <c r="C4">
        <v>2</v>
      </c>
      <c r="D4">
        <v>0.02</v>
      </c>
    </row>
    <row r="5" spans="1:4" x14ac:dyDescent="0.25">
      <c r="A5">
        <v>0</v>
      </c>
      <c r="B5">
        <v>1</v>
      </c>
      <c r="C5">
        <v>1</v>
      </c>
      <c r="D5">
        <v>0</v>
      </c>
    </row>
    <row r="6" spans="1:4" x14ac:dyDescent="0.25">
      <c r="A6">
        <v>0</v>
      </c>
      <c r="B6">
        <v>1</v>
      </c>
      <c r="C6">
        <v>0</v>
      </c>
      <c r="D6">
        <v>-0.02</v>
      </c>
    </row>
    <row r="7" spans="1:4" x14ac:dyDescent="0.25">
      <c r="A7">
        <v>0</v>
      </c>
      <c r="B7">
        <v>2</v>
      </c>
      <c r="C7">
        <v>4</v>
      </c>
      <c r="D7">
        <v>7.4999999999999997E-2</v>
      </c>
    </row>
    <row r="8" spans="1:4" x14ac:dyDescent="0.25">
      <c r="A8">
        <v>0</v>
      </c>
      <c r="B8">
        <v>2</v>
      </c>
      <c r="C8">
        <v>3</v>
      </c>
      <c r="D8">
        <v>4.4999999999999998E-2</v>
      </c>
    </row>
    <row r="9" spans="1:4" x14ac:dyDescent="0.25">
      <c r="A9">
        <v>0</v>
      </c>
      <c r="B9">
        <v>2</v>
      </c>
      <c r="C9">
        <v>2</v>
      </c>
      <c r="D9">
        <v>0.02</v>
      </c>
    </row>
    <row r="10" spans="1:4" x14ac:dyDescent="0.25">
      <c r="A10">
        <v>0</v>
      </c>
      <c r="B10">
        <v>2</v>
      </c>
      <c r="C10">
        <v>1</v>
      </c>
      <c r="D10">
        <v>0</v>
      </c>
    </row>
    <row r="11" spans="1:4" x14ac:dyDescent="0.25">
      <c r="A11">
        <v>0</v>
      </c>
      <c r="B11">
        <v>2</v>
      </c>
      <c r="C11">
        <v>0</v>
      </c>
      <c r="D11">
        <v>-0.02</v>
      </c>
    </row>
    <row r="12" spans="1:4" x14ac:dyDescent="0.25">
      <c r="A12">
        <v>0</v>
      </c>
      <c r="B12">
        <v>3</v>
      </c>
      <c r="C12">
        <v>4</v>
      </c>
      <c r="D12">
        <v>0.04</v>
      </c>
    </row>
    <row r="13" spans="1:4" x14ac:dyDescent="0.25">
      <c r="A13">
        <v>0</v>
      </c>
      <c r="B13">
        <v>3</v>
      </c>
      <c r="C13">
        <v>3</v>
      </c>
      <c r="D13">
        <v>0.03</v>
      </c>
    </row>
    <row r="14" spans="1:4" x14ac:dyDescent="0.25">
      <c r="A14">
        <v>0</v>
      </c>
      <c r="B14">
        <v>3</v>
      </c>
      <c r="C14">
        <v>2</v>
      </c>
      <c r="D14">
        <v>0.02</v>
      </c>
    </row>
    <row r="15" spans="1:4" x14ac:dyDescent="0.25">
      <c r="A15">
        <v>0</v>
      </c>
      <c r="B15">
        <v>3</v>
      </c>
      <c r="C15">
        <v>1</v>
      </c>
      <c r="D15">
        <v>0</v>
      </c>
    </row>
    <row r="16" spans="1:4" x14ac:dyDescent="0.25">
      <c r="A16">
        <v>0</v>
      </c>
      <c r="B16">
        <v>3</v>
      </c>
      <c r="C16">
        <v>0</v>
      </c>
      <c r="D16">
        <v>-0.02</v>
      </c>
    </row>
    <row r="17" spans="1:4" x14ac:dyDescent="0.25">
      <c r="A17">
        <v>0</v>
      </c>
      <c r="B17">
        <v>4</v>
      </c>
      <c r="C17">
        <v>4</v>
      </c>
      <c r="D17">
        <v>0.04</v>
      </c>
    </row>
    <row r="18" spans="1:4" x14ac:dyDescent="0.25">
      <c r="A18">
        <v>0</v>
      </c>
      <c r="B18">
        <v>4</v>
      </c>
      <c r="C18">
        <v>3</v>
      </c>
      <c r="D18">
        <v>0.03</v>
      </c>
    </row>
    <row r="19" spans="1:4" x14ac:dyDescent="0.25">
      <c r="A19">
        <v>0</v>
      </c>
      <c r="B19">
        <v>4</v>
      </c>
      <c r="C19">
        <v>2</v>
      </c>
      <c r="D19">
        <v>0.02</v>
      </c>
    </row>
    <row r="20" spans="1:4" x14ac:dyDescent="0.25">
      <c r="A20">
        <v>0</v>
      </c>
      <c r="B20">
        <v>4</v>
      </c>
      <c r="C20">
        <v>1</v>
      </c>
      <c r="D20">
        <v>0</v>
      </c>
    </row>
    <row r="21" spans="1:4" x14ac:dyDescent="0.25">
      <c r="A21">
        <v>0</v>
      </c>
      <c r="B21">
        <v>4</v>
      </c>
      <c r="C21">
        <v>0</v>
      </c>
      <c r="D21">
        <v>-0.02</v>
      </c>
    </row>
    <row r="22" spans="1:4" x14ac:dyDescent="0.25">
      <c r="A22">
        <v>0</v>
      </c>
      <c r="B22">
        <v>5</v>
      </c>
      <c r="C22">
        <v>4</v>
      </c>
      <c r="D22">
        <v>3.5000000000000003E-2</v>
      </c>
    </row>
    <row r="23" spans="1:4" x14ac:dyDescent="0.25">
      <c r="A23">
        <v>0</v>
      </c>
      <c r="B23">
        <v>5</v>
      </c>
      <c r="C23">
        <v>3</v>
      </c>
      <c r="D23">
        <v>0.02</v>
      </c>
    </row>
    <row r="24" spans="1:4" x14ac:dyDescent="0.25">
      <c r="A24">
        <v>0</v>
      </c>
      <c r="B24">
        <v>5</v>
      </c>
      <c r="C24">
        <v>2</v>
      </c>
      <c r="D24">
        <v>0.01</v>
      </c>
    </row>
    <row r="25" spans="1:4" x14ac:dyDescent="0.25">
      <c r="A25">
        <v>0</v>
      </c>
      <c r="B25">
        <v>5</v>
      </c>
      <c r="C25">
        <v>1</v>
      </c>
      <c r="D25">
        <v>0</v>
      </c>
    </row>
    <row r="26" spans="1:4" x14ac:dyDescent="0.25">
      <c r="A26">
        <v>0</v>
      </c>
      <c r="B26">
        <v>5</v>
      </c>
      <c r="C26">
        <v>0</v>
      </c>
      <c r="D26">
        <v>-0.02</v>
      </c>
    </row>
    <row r="27" spans="1:4" x14ac:dyDescent="0.25">
      <c r="A27">
        <v>0</v>
      </c>
      <c r="B27">
        <v>6</v>
      </c>
      <c r="C27">
        <v>4</v>
      </c>
      <c r="D27">
        <v>3.5000000000000003E-2</v>
      </c>
    </row>
    <row r="28" spans="1:4" x14ac:dyDescent="0.25">
      <c r="A28">
        <v>0</v>
      </c>
      <c r="B28">
        <v>6</v>
      </c>
      <c r="C28">
        <v>3</v>
      </c>
      <c r="D28">
        <v>0.02</v>
      </c>
    </row>
    <row r="29" spans="1:4" x14ac:dyDescent="0.25">
      <c r="A29">
        <v>0</v>
      </c>
      <c r="B29">
        <v>6</v>
      </c>
      <c r="C29">
        <v>2</v>
      </c>
      <c r="D29">
        <v>0.01</v>
      </c>
    </row>
    <row r="30" spans="1:4" x14ac:dyDescent="0.25">
      <c r="A30">
        <v>0</v>
      </c>
      <c r="B30">
        <v>6</v>
      </c>
      <c r="C30">
        <v>1</v>
      </c>
      <c r="D30">
        <v>0</v>
      </c>
    </row>
    <row r="31" spans="1:4" x14ac:dyDescent="0.25">
      <c r="A31">
        <v>0</v>
      </c>
      <c r="B31">
        <v>6</v>
      </c>
      <c r="C31">
        <v>0</v>
      </c>
      <c r="D31">
        <v>-0.02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6701C-8C51-48B5-AC39-CEFE55BE25C3}">
  <dimension ref="B2:AA52"/>
  <sheetViews>
    <sheetView topLeftCell="C18" zoomScale="85" zoomScaleNormal="85" workbookViewId="0">
      <selection activeCell="S52" sqref="S52"/>
    </sheetView>
  </sheetViews>
  <sheetFormatPr defaultRowHeight="15" x14ac:dyDescent="0.25"/>
  <cols>
    <col min="1" max="1" width="4.85546875" customWidth="1"/>
    <col min="2" max="2" width="82.28515625" customWidth="1"/>
    <col min="3" max="3" width="12.7109375" customWidth="1"/>
    <col min="12" max="12" width="18.85546875" customWidth="1"/>
    <col min="13" max="13" width="20.85546875" customWidth="1"/>
    <col min="14" max="14" width="10.42578125" customWidth="1"/>
    <col min="21" max="21" width="10.42578125" customWidth="1"/>
  </cols>
  <sheetData>
    <row r="2" spans="2:13" ht="15.75" thickBot="1" x14ac:dyDescent="0.3"/>
    <row r="3" spans="2:13" ht="15.75" thickBot="1" x14ac:dyDescent="0.3">
      <c r="B3" s="87" t="s">
        <v>0</v>
      </c>
      <c r="C3" s="88"/>
      <c r="D3" s="88"/>
      <c r="E3" s="88"/>
      <c r="F3" s="88"/>
      <c r="G3" s="88"/>
      <c r="H3" s="88"/>
      <c r="I3" s="2"/>
    </row>
    <row r="4" spans="2:13" ht="15.75" thickBot="1" x14ac:dyDescent="0.3">
      <c r="B4" s="1"/>
      <c r="C4" s="1"/>
      <c r="D4" s="1"/>
      <c r="E4" s="1"/>
      <c r="F4" s="1"/>
      <c r="G4" s="1"/>
      <c r="H4" s="1"/>
      <c r="I4" s="1"/>
      <c r="L4" t="s">
        <v>87</v>
      </c>
    </row>
    <row r="5" spans="2:13" ht="15.75" thickBot="1" x14ac:dyDescent="0.3">
      <c r="B5" s="3" t="s">
        <v>1</v>
      </c>
      <c r="C5" s="4"/>
      <c r="D5" s="4"/>
      <c r="E5" s="4"/>
      <c r="F5" s="5">
        <v>20</v>
      </c>
      <c r="G5" s="4"/>
      <c r="H5" s="4" t="s">
        <v>2</v>
      </c>
      <c r="I5" s="6"/>
    </row>
    <row r="6" spans="2:13" x14ac:dyDescent="0.25">
      <c r="B6" s="7" t="s">
        <v>3</v>
      </c>
      <c r="C6" s="1"/>
      <c r="D6" s="1"/>
      <c r="E6" s="1"/>
      <c r="F6" s="1"/>
      <c r="G6" s="1"/>
      <c r="H6" s="1"/>
      <c r="I6" s="8"/>
    </row>
    <row r="7" spans="2:13" ht="15.75" thickBot="1" x14ac:dyDescent="0.3">
      <c r="B7" s="9" t="s">
        <v>4</v>
      </c>
      <c r="C7" s="10">
        <v>20</v>
      </c>
      <c r="D7" s="11"/>
      <c r="E7" s="12" t="s">
        <v>5</v>
      </c>
      <c r="F7" s="1"/>
      <c r="G7" s="1"/>
      <c r="H7" s="1"/>
      <c r="I7" s="8"/>
    </row>
    <row r="8" spans="2:13" ht="15.75" thickBot="1" x14ac:dyDescent="0.3">
      <c r="B8" s="9"/>
      <c r="C8" s="11"/>
      <c r="D8" s="11"/>
      <c r="E8" s="11"/>
      <c r="F8" s="11"/>
      <c r="G8" s="11"/>
      <c r="H8" s="11"/>
      <c r="I8" s="13"/>
    </row>
    <row r="9" spans="2:13" ht="15.75" thickBot="1" x14ac:dyDescent="0.3">
      <c r="B9" s="9"/>
      <c r="C9" s="89" t="s">
        <v>6</v>
      </c>
      <c r="D9" s="89"/>
      <c r="E9" s="89"/>
      <c r="F9" s="89"/>
      <c r="G9" s="11"/>
      <c r="H9" s="11"/>
      <c r="I9" s="13"/>
    </row>
    <row r="10" spans="2:13" ht="15.75" thickBot="1" x14ac:dyDescent="0.3">
      <c r="B10" s="14" t="s">
        <v>7</v>
      </c>
      <c r="C10" s="12"/>
      <c r="D10" s="12"/>
      <c r="E10" s="12"/>
      <c r="F10" s="12"/>
      <c r="G10" s="12"/>
      <c r="H10" s="12"/>
      <c r="I10" s="8"/>
    </row>
    <row r="11" spans="2:13" x14ac:dyDescent="0.25">
      <c r="B11" s="103" t="s">
        <v>8</v>
      </c>
      <c r="C11" s="105"/>
      <c r="D11" s="107"/>
      <c r="E11" s="107"/>
      <c r="F11" s="107"/>
      <c r="G11" s="107"/>
      <c r="H11" s="107"/>
      <c r="I11" s="101"/>
    </row>
    <row r="12" spans="2:13" ht="15.75" thickBot="1" x14ac:dyDescent="0.3">
      <c r="B12" s="104"/>
      <c r="C12" s="106"/>
      <c r="D12" s="108"/>
      <c r="E12" s="108"/>
      <c r="F12" s="108"/>
      <c r="G12" s="108"/>
      <c r="H12" s="108"/>
      <c r="I12" s="102"/>
    </row>
    <row r="13" spans="2:13" ht="15.75" thickBot="1" x14ac:dyDescent="0.3">
      <c r="B13" s="15" t="s">
        <v>9</v>
      </c>
      <c r="C13" s="11"/>
      <c r="D13" s="11"/>
      <c r="E13" s="11"/>
      <c r="F13" s="11"/>
      <c r="G13" s="11"/>
      <c r="H13" s="11"/>
      <c r="I13" s="13"/>
      <c r="M13">
        <v>100</v>
      </c>
    </row>
    <row r="14" spans="2:13" ht="15.75" thickBot="1" x14ac:dyDescent="0.3">
      <c r="B14" s="15" t="s">
        <v>10</v>
      </c>
      <c r="C14" s="11"/>
      <c r="D14" s="11"/>
      <c r="E14" s="11"/>
      <c r="F14" s="11"/>
      <c r="G14" s="11"/>
      <c r="H14" s="11"/>
      <c r="I14" s="13"/>
    </row>
    <row r="15" spans="2:13" ht="15.75" thickBot="1" x14ac:dyDescent="0.3">
      <c r="B15" s="15" t="s">
        <v>11</v>
      </c>
      <c r="C15" s="11"/>
      <c r="D15" s="11"/>
      <c r="E15" s="11"/>
      <c r="F15" s="11"/>
      <c r="G15" s="11"/>
      <c r="H15" s="11"/>
      <c r="I15" s="13"/>
    </row>
    <row r="16" spans="2:13" ht="15.75" thickBot="1" x14ac:dyDescent="0.3">
      <c r="B16" s="15" t="s">
        <v>12</v>
      </c>
      <c r="C16" s="11"/>
      <c r="D16" s="11"/>
      <c r="E16" s="11"/>
      <c r="F16" s="11"/>
      <c r="G16" s="11"/>
      <c r="H16" s="11"/>
      <c r="I16" s="13"/>
    </row>
    <row r="17" spans="2:27" ht="15.75" thickBot="1" x14ac:dyDescent="0.3">
      <c r="B17" s="1"/>
      <c r="C17" s="1"/>
      <c r="D17" s="1"/>
      <c r="E17" s="1"/>
      <c r="F17" s="1"/>
      <c r="G17" s="1"/>
      <c r="H17" s="1"/>
      <c r="I17" s="1"/>
      <c r="O17" t="s">
        <v>95</v>
      </c>
      <c r="W17" t="s">
        <v>97</v>
      </c>
    </row>
    <row r="18" spans="2:27" ht="15.75" thickBot="1" x14ac:dyDescent="0.3">
      <c r="B18" s="16" t="s">
        <v>13</v>
      </c>
      <c r="C18" s="17"/>
      <c r="D18" s="90" t="s">
        <v>14</v>
      </c>
      <c r="E18" s="90"/>
      <c r="F18" s="90"/>
      <c r="G18" s="17"/>
      <c r="H18" s="91" t="s">
        <v>15</v>
      </c>
      <c r="I18" s="92"/>
    </row>
    <row r="19" spans="2:27" ht="15.75" thickBot="1" x14ac:dyDescent="0.3">
      <c r="B19" s="18"/>
      <c r="C19" s="19" t="s">
        <v>16</v>
      </c>
      <c r="D19" s="19" t="s">
        <v>17</v>
      </c>
      <c r="E19" s="19" t="s">
        <v>18</v>
      </c>
      <c r="F19" s="19" t="s">
        <v>19</v>
      </c>
      <c r="G19" s="20" t="s">
        <v>20</v>
      </c>
      <c r="H19" s="21"/>
      <c r="I19" s="19"/>
      <c r="J19" s="29" t="s">
        <v>91</v>
      </c>
      <c r="K19" s="29" t="s">
        <v>92</v>
      </c>
      <c r="L19" s="29" t="s">
        <v>93</v>
      </c>
      <c r="M19" s="29" t="s">
        <v>94</v>
      </c>
      <c r="O19">
        <v>4</v>
      </c>
      <c r="P19">
        <v>3</v>
      </c>
      <c r="Q19">
        <v>2</v>
      </c>
      <c r="R19">
        <v>1</v>
      </c>
      <c r="S19">
        <v>0</v>
      </c>
      <c r="W19">
        <v>4</v>
      </c>
      <c r="X19">
        <v>3</v>
      </c>
      <c r="Y19">
        <v>2</v>
      </c>
      <c r="Z19">
        <v>1</v>
      </c>
      <c r="AA19">
        <v>0</v>
      </c>
    </row>
    <row r="20" spans="2:27" ht="15.75" thickBot="1" x14ac:dyDescent="0.3">
      <c r="B20" s="15" t="s">
        <v>21</v>
      </c>
      <c r="C20" s="49">
        <v>0.15</v>
      </c>
      <c r="D20" s="49">
        <v>0.35</v>
      </c>
      <c r="E20" s="13"/>
      <c r="F20" s="13"/>
      <c r="G20" s="11"/>
      <c r="H20" s="9"/>
      <c r="I20" s="13"/>
      <c r="K20">
        <f>+D20/$D$26*100</f>
        <v>25.000000000000007</v>
      </c>
      <c r="L20" s="54">
        <v>0.125</v>
      </c>
      <c r="M20" s="54">
        <f>(+D20/$D$26*30)/100</f>
        <v>7.5000000000000011E-2</v>
      </c>
      <c r="O20" s="51">
        <f>+D20</f>
        <v>0.35</v>
      </c>
      <c r="P20" s="52">
        <v>0.2</v>
      </c>
      <c r="Q20" s="52">
        <v>0.1</v>
      </c>
      <c r="R20" s="52">
        <v>0</v>
      </c>
      <c r="S20" s="52">
        <v>-0.1</v>
      </c>
      <c r="T20" s="52"/>
      <c r="W20" s="53">
        <f>+L20</f>
        <v>0.125</v>
      </c>
      <c r="X20" s="54">
        <f>+P20/O20*W20</f>
        <v>7.1428571428571438E-2</v>
      </c>
      <c r="Y20" s="54">
        <f>+Q20/O20*W20</f>
        <v>3.5714285714285719E-2</v>
      </c>
      <c r="Z20" s="54">
        <f>+R20/O20*W20</f>
        <v>0</v>
      </c>
      <c r="AA20" s="54">
        <f>+S20/O20*W20</f>
        <v>-3.5714285714285719E-2</v>
      </c>
    </row>
    <row r="21" spans="2:27" ht="15.75" thickBot="1" x14ac:dyDescent="0.3">
      <c r="B21" s="15" t="s">
        <v>22</v>
      </c>
      <c r="C21" s="49">
        <v>0.15</v>
      </c>
      <c r="D21" s="49">
        <v>0.35</v>
      </c>
      <c r="E21" s="13"/>
      <c r="F21" s="13"/>
      <c r="G21" s="13"/>
      <c r="H21" s="11"/>
      <c r="I21" s="13"/>
      <c r="K21">
        <f>+D21/$D$26*100</f>
        <v>25.000000000000007</v>
      </c>
      <c r="L21" s="54">
        <f>(+D21/$D$26*50)/100</f>
        <v>0.12500000000000003</v>
      </c>
      <c r="M21" s="54">
        <f>(+D21/$D$26*30)/100</f>
        <v>7.5000000000000011E-2</v>
      </c>
      <c r="O21" s="51">
        <f t="shared" ref="O21:O26" si="0">+D21</f>
        <v>0.35</v>
      </c>
      <c r="P21" s="52">
        <v>0.2</v>
      </c>
      <c r="Q21" s="52">
        <v>0.1</v>
      </c>
      <c r="R21" s="52">
        <v>0</v>
      </c>
      <c r="S21" s="52">
        <v>-0.1</v>
      </c>
      <c r="T21" s="52"/>
      <c r="W21" s="53">
        <f t="shared" ref="W21:W26" si="1">+L21</f>
        <v>0.12500000000000003</v>
      </c>
      <c r="X21" s="54">
        <f t="shared" ref="X21:X26" si="2">+P21/O21*W21</f>
        <v>7.1428571428571452E-2</v>
      </c>
      <c r="Y21" s="54">
        <f t="shared" ref="Y21:Y26" si="3">+Q21/O21*W21</f>
        <v>3.5714285714285726E-2</v>
      </c>
      <c r="Z21" s="54">
        <f t="shared" ref="Z21:Z26" si="4">+R21/O21*W21</f>
        <v>0</v>
      </c>
      <c r="AA21" s="54">
        <f t="shared" ref="AA21:AA26" si="5">+S21/O21*W21</f>
        <v>-3.5714285714285726E-2</v>
      </c>
    </row>
    <row r="22" spans="2:27" ht="15.75" thickBot="1" x14ac:dyDescent="0.3">
      <c r="B22" s="15" t="s">
        <v>23</v>
      </c>
      <c r="C22" s="49">
        <v>0.14000000000000001</v>
      </c>
      <c r="D22" s="49">
        <v>0.2</v>
      </c>
      <c r="E22" s="13"/>
      <c r="F22" s="13"/>
      <c r="G22" s="13"/>
      <c r="H22" s="11"/>
      <c r="I22" s="13"/>
      <c r="K22">
        <v>15</v>
      </c>
      <c r="L22" s="54">
        <v>7.0000000000000007E-2</v>
      </c>
      <c r="M22" s="54">
        <v>0.04</v>
      </c>
      <c r="O22" s="51">
        <f t="shared" si="0"/>
        <v>0.2</v>
      </c>
      <c r="P22" s="52">
        <v>0.15</v>
      </c>
      <c r="Q22" s="52">
        <v>0.1</v>
      </c>
      <c r="R22" s="52">
        <v>0</v>
      </c>
      <c r="S22" s="52">
        <v>-0.1</v>
      </c>
      <c r="T22" s="52"/>
      <c r="W22" s="53">
        <f t="shared" si="1"/>
        <v>7.0000000000000007E-2</v>
      </c>
      <c r="X22" s="54">
        <f t="shared" si="2"/>
        <v>5.2499999999999998E-2</v>
      </c>
      <c r="Y22" s="54">
        <f t="shared" si="3"/>
        <v>3.5000000000000003E-2</v>
      </c>
      <c r="Z22" s="54">
        <f t="shared" si="4"/>
        <v>0</v>
      </c>
      <c r="AA22" s="54">
        <f t="shared" si="5"/>
        <v>-3.5000000000000003E-2</v>
      </c>
    </row>
    <row r="23" spans="2:27" ht="15.75" thickBot="1" x14ac:dyDescent="0.3">
      <c r="B23" s="22" t="s">
        <v>24</v>
      </c>
      <c r="C23" s="49">
        <v>0.1</v>
      </c>
      <c r="D23" s="49">
        <v>0.2</v>
      </c>
      <c r="E23" s="13"/>
      <c r="F23" s="13"/>
      <c r="G23" s="13"/>
      <c r="H23" s="11"/>
      <c r="I23" s="13"/>
      <c r="K23">
        <v>15</v>
      </c>
      <c r="L23" s="54">
        <v>7.0000000000000007E-2</v>
      </c>
      <c r="M23" s="54">
        <v>0.04</v>
      </c>
      <c r="O23" s="51">
        <f t="shared" si="0"/>
        <v>0.2</v>
      </c>
      <c r="P23" s="52">
        <v>0.15</v>
      </c>
      <c r="Q23" s="52">
        <v>0.1</v>
      </c>
      <c r="R23" s="52">
        <v>0</v>
      </c>
      <c r="S23" s="52">
        <v>-0.1</v>
      </c>
      <c r="T23" s="52"/>
      <c r="W23" s="53">
        <f t="shared" si="1"/>
        <v>7.0000000000000007E-2</v>
      </c>
      <c r="X23" s="54">
        <f t="shared" si="2"/>
        <v>5.2499999999999998E-2</v>
      </c>
      <c r="Y23" s="54">
        <f t="shared" si="3"/>
        <v>3.5000000000000003E-2</v>
      </c>
      <c r="Z23" s="54">
        <f t="shared" si="4"/>
        <v>0</v>
      </c>
      <c r="AA23" s="54">
        <f t="shared" si="5"/>
        <v>-3.5000000000000003E-2</v>
      </c>
    </row>
    <row r="24" spans="2:27" ht="15.75" thickBot="1" x14ac:dyDescent="0.3">
      <c r="B24" s="15" t="s">
        <v>25</v>
      </c>
      <c r="C24" s="49">
        <v>0.1</v>
      </c>
      <c r="D24" s="49">
        <v>0.15</v>
      </c>
      <c r="E24" s="13"/>
      <c r="F24" s="13"/>
      <c r="G24" s="13"/>
      <c r="H24" s="11"/>
      <c r="I24" s="13"/>
      <c r="K24">
        <v>10</v>
      </c>
      <c r="L24" s="54">
        <v>5.5E-2</v>
      </c>
      <c r="M24" s="54">
        <v>3.5000000000000003E-2</v>
      </c>
      <c r="O24" s="51">
        <f t="shared" si="0"/>
        <v>0.15</v>
      </c>
      <c r="P24" s="52">
        <v>0.1</v>
      </c>
      <c r="Q24" s="52">
        <v>0.05</v>
      </c>
      <c r="R24" s="52">
        <v>0</v>
      </c>
      <c r="S24" s="52">
        <v>-0.1</v>
      </c>
      <c r="T24" s="52"/>
      <c r="W24" s="53">
        <f t="shared" si="1"/>
        <v>5.5E-2</v>
      </c>
      <c r="X24" s="54">
        <f t="shared" si="2"/>
        <v>3.6666666666666674E-2</v>
      </c>
      <c r="Y24" s="54">
        <f t="shared" si="3"/>
        <v>1.8333333333333337E-2</v>
      </c>
      <c r="Z24" s="54">
        <f t="shared" si="4"/>
        <v>0</v>
      </c>
      <c r="AA24" s="54">
        <f>+S24/O24*W24</f>
        <v>-3.6666666666666674E-2</v>
      </c>
    </row>
    <row r="25" spans="2:27" ht="15.75" thickBot="1" x14ac:dyDescent="0.3">
      <c r="B25" s="15" t="s">
        <v>26</v>
      </c>
      <c r="C25" s="49">
        <v>0.1</v>
      </c>
      <c r="D25" s="49">
        <v>0.15</v>
      </c>
      <c r="E25" s="13"/>
      <c r="F25" s="13"/>
      <c r="G25" s="13"/>
      <c r="H25" s="11"/>
      <c r="I25" s="13"/>
      <c r="K25">
        <v>10</v>
      </c>
      <c r="L25" s="54">
        <v>5.5E-2</v>
      </c>
      <c r="M25" s="54">
        <v>3.5000000000000003E-2</v>
      </c>
      <c r="O25" s="51">
        <f t="shared" si="0"/>
        <v>0.15</v>
      </c>
      <c r="P25" s="52">
        <v>0.1</v>
      </c>
      <c r="Q25" s="52">
        <v>0.05</v>
      </c>
      <c r="R25" s="52">
        <v>0</v>
      </c>
      <c r="S25" s="52">
        <v>-0.1</v>
      </c>
      <c r="T25" s="52"/>
      <c r="W25" s="53">
        <f t="shared" si="1"/>
        <v>5.5E-2</v>
      </c>
      <c r="X25" s="54">
        <f t="shared" si="2"/>
        <v>3.6666666666666674E-2</v>
      </c>
      <c r="Y25" s="54">
        <f t="shared" si="3"/>
        <v>1.8333333333333337E-2</v>
      </c>
      <c r="Z25" s="54">
        <f t="shared" si="4"/>
        <v>0</v>
      </c>
      <c r="AA25" s="54">
        <f t="shared" si="5"/>
        <v>-3.6666666666666674E-2</v>
      </c>
    </row>
    <row r="26" spans="2:27" ht="15.75" thickBot="1" x14ac:dyDescent="0.3">
      <c r="B26" s="23" t="s">
        <v>27</v>
      </c>
      <c r="C26" s="50">
        <f>SUM(C20:C25)</f>
        <v>0.74</v>
      </c>
      <c r="D26" s="50">
        <f>SUM(D20:D25)</f>
        <v>1.3999999999999997</v>
      </c>
      <c r="E26" s="24">
        <v>0</v>
      </c>
      <c r="F26" s="24">
        <v>0</v>
      </c>
      <c r="G26" s="24">
        <v>0</v>
      </c>
      <c r="H26" s="25"/>
      <c r="I26" s="26"/>
      <c r="L26" s="54">
        <v>0.5</v>
      </c>
      <c r="M26" s="54">
        <v>0.3</v>
      </c>
      <c r="O26" s="51">
        <f t="shared" si="0"/>
        <v>1.3999999999999997</v>
      </c>
      <c r="P26" s="52">
        <f>SUM(P20:P25)</f>
        <v>0.9</v>
      </c>
      <c r="Q26" s="52">
        <f>SUM(Q20:Q25)</f>
        <v>0.5</v>
      </c>
      <c r="R26" s="52">
        <f>SUM(R20:R25)</f>
        <v>0</v>
      </c>
      <c r="S26" s="52">
        <f>SUM(S20:S25)</f>
        <v>-0.6</v>
      </c>
      <c r="T26" s="52"/>
      <c r="W26" s="53">
        <f t="shared" si="1"/>
        <v>0.5</v>
      </c>
      <c r="X26" s="54">
        <f t="shared" si="2"/>
        <v>0.32142857142857151</v>
      </c>
      <c r="Y26" s="54">
        <f t="shared" si="3"/>
        <v>0.1785714285714286</v>
      </c>
      <c r="Z26" s="54">
        <f t="shared" si="4"/>
        <v>0</v>
      </c>
      <c r="AA26" s="54">
        <f t="shared" si="5"/>
        <v>-0.21428571428571433</v>
      </c>
    </row>
    <row r="27" spans="2:27" ht="15.75" thickBot="1" x14ac:dyDescent="0.3">
      <c r="B27" s="1"/>
      <c r="C27" s="1"/>
      <c r="D27" s="1"/>
      <c r="E27" s="1"/>
      <c r="F27" s="1"/>
      <c r="G27" s="1"/>
      <c r="H27" s="1"/>
      <c r="I27" s="1"/>
    </row>
    <row r="28" spans="2:27" ht="15.75" thickBot="1" x14ac:dyDescent="0.3">
      <c r="B28" s="27" t="s">
        <v>28</v>
      </c>
      <c r="C28" s="28"/>
      <c r="D28" s="28"/>
      <c r="E28" s="28"/>
      <c r="F28" s="28"/>
      <c r="G28" s="28"/>
      <c r="H28" s="17"/>
      <c r="I28" s="28"/>
      <c r="O28" t="s">
        <v>96</v>
      </c>
    </row>
    <row r="29" spans="2:27" ht="15.75" thickBot="1" x14ac:dyDescent="0.3">
      <c r="B29" s="14" t="s">
        <v>29</v>
      </c>
      <c r="C29" s="19" t="s">
        <v>30</v>
      </c>
      <c r="D29" s="19"/>
      <c r="E29" s="19" t="s">
        <v>31</v>
      </c>
      <c r="F29" s="13"/>
      <c r="G29" s="13"/>
      <c r="H29" s="58" t="b">
        <v>0</v>
      </c>
      <c r="I29" s="13"/>
      <c r="L29" t="s">
        <v>88</v>
      </c>
      <c r="O29">
        <v>4</v>
      </c>
      <c r="P29">
        <v>3</v>
      </c>
      <c r="Q29">
        <v>2</v>
      </c>
      <c r="R29">
        <v>1</v>
      </c>
      <c r="S29">
        <v>0</v>
      </c>
    </row>
    <row r="30" spans="2:27" ht="15.75" thickBot="1" x14ac:dyDescent="0.3">
      <c r="B30" s="14" t="s">
        <v>32</v>
      </c>
      <c r="C30" s="19" t="s">
        <v>30</v>
      </c>
      <c r="D30" s="19"/>
      <c r="E30" s="19" t="s">
        <v>31</v>
      </c>
      <c r="F30" s="13"/>
      <c r="G30" s="13"/>
      <c r="H30" s="58" t="b">
        <v>0</v>
      </c>
      <c r="I30" s="13"/>
      <c r="L30" t="s">
        <v>89</v>
      </c>
      <c r="N30">
        <v>1</v>
      </c>
      <c r="O30" s="53">
        <f>+M20</f>
        <v>7.5000000000000011E-2</v>
      </c>
      <c r="P30" s="54">
        <f>+P20/O20*O30</f>
        <v>4.2857142857142871E-2</v>
      </c>
      <c r="Q30" s="54">
        <f>+Q20/O20*O30</f>
        <v>2.1428571428571436E-2</v>
      </c>
      <c r="R30" s="54">
        <f>+R20/O20*O30</f>
        <v>0</v>
      </c>
      <c r="S30" s="54">
        <f>+S20/O20*O30</f>
        <v>-2.1428571428571436E-2</v>
      </c>
      <c r="T30" s="54"/>
    </row>
    <row r="31" spans="2:27" ht="15.75" thickBot="1" x14ac:dyDescent="0.3">
      <c r="B31" s="14" t="s">
        <v>33</v>
      </c>
      <c r="C31" s="19" t="s">
        <v>30</v>
      </c>
      <c r="D31" s="19"/>
      <c r="E31" s="19" t="s">
        <v>31</v>
      </c>
      <c r="F31" s="13"/>
      <c r="G31" s="13"/>
      <c r="H31" s="58" t="b">
        <v>0</v>
      </c>
      <c r="I31" s="13"/>
      <c r="L31" t="s">
        <v>90</v>
      </c>
      <c r="N31">
        <v>2</v>
      </c>
      <c r="O31" s="53">
        <f t="shared" ref="O31:O36" si="6">+M21</f>
        <v>7.5000000000000011E-2</v>
      </c>
      <c r="P31" s="54">
        <f t="shared" ref="P31:P36" si="7">+P21/O21*O31</f>
        <v>4.2857142857142871E-2</v>
      </c>
      <c r="Q31" s="54">
        <f t="shared" ref="Q31:Q36" si="8">+Q21/O21*O31</f>
        <v>2.1428571428571436E-2</v>
      </c>
      <c r="R31" s="54">
        <f t="shared" ref="R31:R36" si="9">+R21/O21*O31</f>
        <v>0</v>
      </c>
      <c r="S31" s="54">
        <f t="shared" ref="S31:S36" si="10">+S21/O21*O31</f>
        <v>-2.1428571428571436E-2</v>
      </c>
      <c r="T31" s="54"/>
    </row>
    <row r="32" spans="2:27" x14ac:dyDescent="0.25">
      <c r="B32" s="1"/>
      <c r="C32" s="1"/>
      <c r="D32" s="1"/>
      <c r="E32" s="1"/>
      <c r="F32" s="1"/>
      <c r="G32" s="1"/>
      <c r="H32" s="1"/>
      <c r="I32" s="1"/>
      <c r="N32">
        <v>3</v>
      </c>
      <c r="O32" s="53">
        <f t="shared" si="6"/>
        <v>0.04</v>
      </c>
      <c r="P32" s="54">
        <f t="shared" si="7"/>
        <v>2.9999999999999995E-2</v>
      </c>
      <c r="Q32" s="54">
        <f t="shared" si="8"/>
        <v>0.02</v>
      </c>
      <c r="R32" s="54">
        <f t="shared" si="9"/>
        <v>0</v>
      </c>
      <c r="S32" s="54">
        <f t="shared" si="10"/>
        <v>-0.02</v>
      </c>
      <c r="T32" s="54"/>
    </row>
    <row r="33" spans="2:26" x14ac:dyDescent="0.25">
      <c r="B33" s="30"/>
      <c r="C33" s="29"/>
      <c r="N33">
        <v>4</v>
      </c>
      <c r="O33" s="53">
        <f t="shared" si="6"/>
        <v>0.04</v>
      </c>
      <c r="P33" s="54">
        <f t="shared" si="7"/>
        <v>2.9999999999999995E-2</v>
      </c>
      <c r="Q33" s="54">
        <f t="shared" si="8"/>
        <v>0.02</v>
      </c>
      <c r="R33" s="54">
        <f t="shared" si="9"/>
        <v>0</v>
      </c>
      <c r="S33" s="54">
        <f t="shared" si="10"/>
        <v>-0.02</v>
      </c>
      <c r="T33" s="54"/>
    </row>
    <row r="34" spans="2:26" x14ac:dyDescent="0.25">
      <c r="D34" s="48"/>
      <c r="E34" s="31"/>
      <c r="N34">
        <v>5</v>
      </c>
      <c r="O34" s="53">
        <f t="shared" si="6"/>
        <v>3.5000000000000003E-2</v>
      </c>
      <c r="P34" s="54">
        <f t="shared" si="7"/>
        <v>2.3333333333333338E-2</v>
      </c>
      <c r="Q34" s="54">
        <f t="shared" si="8"/>
        <v>1.1666666666666669E-2</v>
      </c>
      <c r="R34" s="54">
        <f t="shared" si="9"/>
        <v>0</v>
      </c>
      <c r="S34" s="54">
        <f t="shared" si="10"/>
        <v>-2.3333333333333338E-2</v>
      </c>
      <c r="T34" s="54"/>
    </row>
    <row r="35" spans="2:26" x14ac:dyDescent="0.25">
      <c r="N35">
        <v>6</v>
      </c>
      <c r="O35" s="53">
        <f t="shared" si="6"/>
        <v>3.5000000000000003E-2</v>
      </c>
      <c r="P35" s="54">
        <f t="shared" si="7"/>
        <v>2.3333333333333338E-2</v>
      </c>
      <c r="Q35" s="54">
        <f t="shared" si="8"/>
        <v>1.1666666666666669E-2</v>
      </c>
      <c r="R35" s="54">
        <f t="shared" si="9"/>
        <v>0</v>
      </c>
      <c r="S35" s="54">
        <f t="shared" si="10"/>
        <v>-2.3333333333333338E-2</v>
      </c>
      <c r="T35" s="54"/>
    </row>
    <row r="36" spans="2:26" x14ac:dyDescent="0.25">
      <c r="O36" s="53">
        <f t="shared" si="6"/>
        <v>0.3</v>
      </c>
      <c r="P36" s="54">
        <f t="shared" si="7"/>
        <v>0.19285714285714289</v>
      </c>
      <c r="Q36" s="54">
        <f t="shared" si="8"/>
        <v>0.10714285714285716</v>
      </c>
      <c r="R36" s="54">
        <f t="shared" si="9"/>
        <v>0</v>
      </c>
      <c r="S36" s="54">
        <f t="shared" si="10"/>
        <v>-0.12857142857142859</v>
      </c>
      <c r="T36" s="54"/>
    </row>
    <row r="40" spans="2:26" x14ac:dyDescent="0.25">
      <c r="O40" t="s">
        <v>97</v>
      </c>
    </row>
    <row r="41" spans="2:26" x14ac:dyDescent="0.25">
      <c r="V41" t="s">
        <v>96</v>
      </c>
    </row>
    <row r="42" spans="2:26" x14ac:dyDescent="0.25">
      <c r="N42" t="s">
        <v>105</v>
      </c>
      <c r="O42" t="s">
        <v>100</v>
      </c>
      <c r="P42" t="s">
        <v>101</v>
      </c>
      <c r="Q42" t="s">
        <v>102</v>
      </c>
      <c r="R42" t="s">
        <v>103</v>
      </c>
      <c r="S42" t="s">
        <v>104</v>
      </c>
      <c r="U42" t="s">
        <v>105</v>
      </c>
      <c r="V42" t="s">
        <v>100</v>
      </c>
      <c r="W42" t="s">
        <v>101</v>
      </c>
      <c r="X42" t="s">
        <v>102</v>
      </c>
      <c r="Y42" t="s">
        <v>103</v>
      </c>
      <c r="Z42" t="s">
        <v>104</v>
      </c>
    </row>
    <row r="43" spans="2:26" x14ac:dyDescent="0.25">
      <c r="N43">
        <v>1</v>
      </c>
      <c r="O43" s="53">
        <v>0.125</v>
      </c>
      <c r="P43" s="54">
        <v>7.0000000000000007E-2</v>
      </c>
      <c r="Q43" s="54">
        <v>3.5000000000000003E-2</v>
      </c>
      <c r="R43" s="54">
        <v>0</v>
      </c>
      <c r="S43" s="54">
        <v>-3.5000000000000003E-2</v>
      </c>
      <c r="T43" s="54"/>
      <c r="U43">
        <v>1</v>
      </c>
      <c r="V43" s="53">
        <v>7.4999999999999997E-2</v>
      </c>
      <c r="W43" s="54">
        <v>4.4999999999999998E-2</v>
      </c>
      <c r="X43" s="54">
        <v>0.02</v>
      </c>
      <c r="Y43" s="54">
        <v>0</v>
      </c>
      <c r="Z43" s="54">
        <v>-0.02</v>
      </c>
    </row>
    <row r="44" spans="2:26" x14ac:dyDescent="0.25">
      <c r="N44">
        <v>2</v>
      </c>
      <c r="O44" s="53">
        <v>0.125</v>
      </c>
      <c r="P44" s="54">
        <v>7.0000000000000007E-2</v>
      </c>
      <c r="Q44" s="54">
        <v>3.5000000000000003E-2</v>
      </c>
      <c r="R44" s="54">
        <v>0</v>
      </c>
      <c r="S44" s="54">
        <v>-3.5000000000000003E-2</v>
      </c>
      <c r="T44" s="54"/>
      <c r="U44">
        <v>2</v>
      </c>
      <c r="V44" s="53">
        <v>7.4999999999999997E-2</v>
      </c>
      <c r="W44" s="54">
        <v>4.4999999999999998E-2</v>
      </c>
      <c r="X44" s="54">
        <v>0.02</v>
      </c>
      <c r="Y44" s="54">
        <v>0</v>
      </c>
      <c r="Z44" s="54">
        <v>-0.02</v>
      </c>
    </row>
    <row r="45" spans="2:26" x14ac:dyDescent="0.25">
      <c r="N45">
        <v>3</v>
      </c>
      <c r="O45" s="53">
        <v>7.0000000000000007E-2</v>
      </c>
      <c r="P45" s="54">
        <v>5.5E-2</v>
      </c>
      <c r="Q45" s="54">
        <v>3.5000000000000003E-2</v>
      </c>
      <c r="R45" s="54">
        <v>0</v>
      </c>
      <c r="S45" s="54">
        <v>-3.5000000000000003E-2</v>
      </c>
      <c r="T45" s="54"/>
      <c r="U45">
        <v>3</v>
      </c>
      <c r="V45" s="53">
        <v>0.04</v>
      </c>
      <c r="W45" s="54">
        <v>0.03</v>
      </c>
      <c r="X45" s="54">
        <v>0.02</v>
      </c>
      <c r="Y45" s="54">
        <v>0</v>
      </c>
      <c r="Z45" s="54">
        <v>-0.02</v>
      </c>
    </row>
    <row r="46" spans="2:26" x14ac:dyDescent="0.25">
      <c r="N46">
        <v>4</v>
      </c>
      <c r="O46" s="53">
        <v>7.0000000000000007E-2</v>
      </c>
      <c r="P46" s="54">
        <v>5.5E-2</v>
      </c>
      <c r="Q46" s="54">
        <v>3.5000000000000003E-2</v>
      </c>
      <c r="R46" s="54">
        <v>0</v>
      </c>
      <c r="S46" s="54">
        <v>-3.5000000000000003E-2</v>
      </c>
      <c r="T46" s="54"/>
      <c r="U46">
        <v>4</v>
      </c>
      <c r="V46" s="53">
        <v>0.04</v>
      </c>
      <c r="W46" s="54">
        <v>0.03</v>
      </c>
      <c r="X46" s="54">
        <v>0.02</v>
      </c>
      <c r="Y46" s="54">
        <v>0</v>
      </c>
      <c r="Z46" s="54">
        <v>-0.02</v>
      </c>
    </row>
    <row r="47" spans="2:26" x14ac:dyDescent="0.25">
      <c r="N47">
        <v>5</v>
      </c>
      <c r="O47" s="53">
        <v>5.5E-2</v>
      </c>
      <c r="P47" s="54">
        <v>3.5000000000000003E-2</v>
      </c>
      <c r="Q47" s="54">
        <v>0.02</v>
      </c>
      <c r="R47" s="54">
        <v>0</v>
      </c>
      <c r="S47" s="54">
        <v>-3.5000000000000003E-2</v>
      </c>
      <c r="T47" s="54"/>
      <c r="U47">
        <v>5</v>
      </c>
      <c r="V47" s="53">
        <v>3.5000000000000003E-2</v>
      </c>
      <c r="W47" s="54">
        <v>0.02</v>
      </c>
      <c r="X47" s="54">
        <v>0.01</v>
      </c>
      <c r="Y47" s="54">
        <v>0</v>
      </c>
      <c r="Z47" s="54">
        <v>-0.02</v>
      </c>
    </row>
    <row r="48" spans="2:26" x14ac:dyDescent="0.25">
      <c r="N48">
        <v>6</v>
      </c>
      <c r="O48" s="53">
        <v>5.5E-2</v>
      </c>
      <c r="P48" s="54">
        <v>3.5000000000000003E-2</v>
      </c>
      <c r="Q48" s="54">
        <v>0.02</v>
      </c>
      <c r="R48" s="54">
        <v>0</v>
      </c>
      <c r="S48" s="54">
        <v>-3.5000000000000003E-2</v>
      </c>
      <c r="T48" s="54"/>
      <c r="U48">
        <v>6</v>
      </c>
      <c r="V48" s="53">
        <v>3.5000000000000003E-2</v>
      </c>
      <c r="W48" s="54">
        <v>0.02</v>
      </c>
      <c r="X48" s="54">
        <v>0.01</v>
      </c>
      <c r="Y48" s="54">
        <v>0</v>
      </c>
      <c r="Z48" s="54">
        <v>-0.02</v>
      </c>
    </row>
    <row r="49" spans="15:26" x14ac:dyDescent="0.25">
      <c r="O49" s="53"/>
      <c r="P49" s="54"/>
      <c r="Q49" s="54"/>
      <c r="R49" s="54"/>
      <c r="S49" s="54"/>
      <c r="T49" s="54"/>
      <c r="V49" s="53"/>
      <c r="W49" s="54"/>
      <c r="X49" s="54"/>
      <c r="Y49" s="54"/>
      <c r="Z49" s="54"/>
    </row>
    <row r="52" spans="15:26" x14ac:dyDescent="0.25">
      <c r="S52" t="s">
        <v>165</v>
      </c>
    </row>
  </sheetData>
  <mergeCells count="11">
    <mergeCell ref="I11:I12"/>
    <mergeCell ref="D18:F18"/>
    <mergeCell ref="H18:I18"/>
    <mergeCell ref="B3:H3"/>
    <mergeCell ref="C9:F9"/>
    <mergeCell ref="B11:B12"/>
    <mergeCell ref="C11:C12"/>
    <mergeCell ref="D11:E12"/>
    <mergeCell ref="F11:F12"/>
    <mergeCell ref="G11:G12"/>
    <mergeCell ref="H11:H12"/>
  </mergeCells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9FE683F-B4A4-4F73-8A94-FB6A04BFA06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obrazac</vt:lpstr>
      <vt:lpstr>tabela licni koeficijent</vt:lpstr>
      <vt:lpstr>Max_vrednosti</vt:lpstr>
      <vt:lpstr>kriterijumi</vt:lpstr>
      <vt:lpstr>Table3</vt:lpstr>
      <vt:lpstr>januar 24 - proracuni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Biljana Ilić</dc:creator>
  <cp:lastModifiedBy>Olivera  Pavlovic</cp:lastModifiedBy>
  <dcterms:created xsi:type="dcterms:W3CDTF">2023-10-10T07:42:20Z</dcterms:created>
  <dcterms:modified xsi:type="dcterms:W3CDTF">2026-09-09T13:05:09Z</dcterms:modified>
</cp:coreProperties>
</file>